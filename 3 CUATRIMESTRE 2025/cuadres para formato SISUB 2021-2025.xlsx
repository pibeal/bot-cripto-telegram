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AS ESTRATEGAS\S REPSE\EQUIPOS Y SERVICIOS PARA NEGOCIOS SA DE CV\DATOS REPSE 2025\"/>
    </mc:Choice>
  </mc:AlternateContent>
  <xr:revisionPtr revIDLastSave="0" documentId="13_ncr:1_{BEFD5E07-E493-4115-A8E5-FB8B2643779B}" xr6:coauthVersionLast="47" xr6:coauthVersionMax="47" xr10:uidLastSave="{00000000-0000-0000-0000-000000000000}"/>
  <bookViews>
    <workbookView xWindow="12795" yWindow="0" windowWidth="15690" windowHeight="15600" tabRatio="1000" firstSheet="4" activeTab="6" xr2:uid="{00000000-000D-0000-FFFF-FFFF00000000}"/>
  </bookViews>
  <sheets>
    <sheet name="SERVICIOS" sheetId="1" r:id="rId1"/>
    <sheet name="INFORMACION" sheetId="2" r:id="rId2"/>
    <sheet name="INFORMACION CUOTAS INFONAVIT 21" sheetId="3" r:id="rId3"/>
    <sheet name="INFORMACION CUOTAS INFONAVIT 22" sheetId="4" r:id="rId4"/>
    <sheet name="INFORMACION CUOTAS INFONAVIT 23" sheetId="5" r:id="rId5"/>
    <sheet name="INFORMACIÒN CUOTAS INFONAVIT 24" sheetId="6" r:id="rId6"/>
    <sheet name="INFORMACION CUOTAS INFONAVIT 25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7" l="1"/>
  <c r="K17" i="7"/>
  <c r="J49" i="7"/>
  <c r="J40" i="7"/>
  <c r="J41" i="7"/>
  <c r="J45" i="7"/>
  <c r="I50" i="7"/>
  <c r="K50" i="7"/>
  <c r="J48" i="7"/>
  <c r="J50" i="7" s="1"/>
  <c r="I46" i="7"/>
  <c r="K44" i="7"/>
  <c r="K46" i="7" s="1"/>
  <c r="J44" i="7"/>
  <c r="J46" i="7" s="1"/>
  <c r="I42" i="7"/>
  <c r="I52" i="7" s="1"/>
  <c r="K40" i="7"/>
  <c r="K42" i="7" s="1"/>
  <c r="K52" i="7" s="1"/>
  <c r="J42" i="7"/>
  <c r="J52" i="7" s="1"/>
  <c r="W27" i="2"/>
  <c r="V27" i="2"/>
  <c r="U27" i="2"/>
  <c r="T27" i="2"/>
  <c r="S27" i="2"/>
  <c r="W26" i="2"/>
  <c r="V26" i="2"/>
  <c r="U26" i="2"/>
  <c r="T26" i="2"/>
  <c r="S26" i="2"/>
  <c r="W25" i="2"/>
  <c r="V25" i="2"/>
  <c r="U25" i="2"/>
  <c r="T25" i="2"/>
  <c r="S25" i="2"/>
  <c r="J23" i="7"/>
  <c r="K23" i="7"/>
  <c r="I13" i="7"/>
  <c r="I9" i="7"/>
  <c r="I5" i="7"/>
  <c r="I5" i="6"/>
  <c r="I9" i="6"/>
  <c r="K21" i="6"/>
  <c r="K5" i="6"/>
  <c r="K5" i="7"/>
  <c r="K35" i="7"/>
  <c r="J32" i="7"/>
  <c r="K31" i="7"/>
  <c r="K33" i="7" s="1"/>
  <c r="J28" i="7"/>
  <c r="K27" i="7"/>
  <c r="K29" i="7" s="1"/>
  <c r="J24" i="7"/>
  <c r="K25" i="7"/>
  <c r="J14" i="7"/>
  <c r="K13" i="7"/>
  <c r="K15" i="7" s="1"/>
  <c r="J10" i="7"/>
  <c r="K9" i="7"/>
  <c r="K11" i="7" s="1"/>
  <c r="J6" i="7"/>
  <c r="K7" i="7"/>
  <c r="Y23" i="2"/>
  <c r="X23" i="2"/>
  <c r="X21" i="2"/>
  <c r="Y20" i="2"/>
  <c r="S20" i="2"/>
  <c r="Y21" i="2"/>
  <c r="X11" i="2"/>
  <c r="X20" i="2"/>
  <c r="V20" i="2"/>
  <c r="W20" i="2"/>
  <c r="J40" i="6"/>
  <c r="K39" i="6"/>
  <c r="K41" i="6" s="1"/>
  <c r="J39" i="6"/>
  <c r="J41" i="6" s="1"/>
  <c r="J36" i="6"/>
  <c r="K35" i="6"/>
  <c r="K37" i="6" s="1"/>
  <c r="J35" i="6"/>
  <c r="J37" i="6" s="1"/>
  <c r="J32" i="6"/>
  <c r="K31" i="6"/>
  <c r="K33" i="6" s="1"/>
  <c r="J31" i="6"/>
  <c r="J33" i="6" s="1"/>
  <c r="J28" i="6"/>
  <c r="K27" i="6"/>
  <c r="K29" i="6" s="1"/>
  <c r="J27" i="6"/>
  <c r="J29" i="6" s="1"/>
  <c r="I39" i="6"/>
  <c r="I41" i="6" s="1"/>
  <c r="I35" i="6"/>
  <c r="I37" i="6" s="1"/>
  <c r="I31" i="6"/>
  <c r="I33" i="6" s="1"/>
  <c r="I27" i="6"/>
  <c r="I29" i="6" s="1"/>
  <c r="J61" i="6"/>
  <c r="J50" i="6"/>
  <c r="J49" i="6"/>
  <c r="J53" i="6"/>
  <c r="V23" i="2"/>
  <c r="V22" i="2"/>
  <c r="V21" i="2"/>
  <c r="K43" i="6"/>
  <c r="I43" i="6"/>
  <c r="J43" i="6"/>
  <c r="W23" i="2"/>
  <c r="W22" i="2"/>
  <c r="W21" i="2"/>
  <c r="T20" i="2"/>
  <c r="K17" i="6"/>
  <c r="K19" i="6" s="1"/>
  <c r="I17" i="6"/>
  <c r="I19" i="6" s="1"/>
  <c r="K13" i="6"/>
  <c r="K15" i="6" s="1"/>
  <c r="I13" i="6"/>
  <c r="K9" i="6"/>
  <c r="K11" i="6" s="1"/>
  <c r="I7" i="6"/>
  <c r="K63" i="6"/>
  <c r="I63" i="6"/>
  <c r="J62" i="6"/>
  <c r="J63" i="6"/>
  <c r="K59" i="6"/>
  <c r="I59" i="6"/>
  <c r="J58" i="6"/>
  <c r="J57" i="6"/>
  <c r="J59" i="6" s="1"/>
  <c r="K55" i="6"/>
  <c r="I55" i="6"/>
  <c r="J54" i="6"/>
  <c r="J55" i="6"/>
  <c r="K51" i="6"/>
  <c r="I51" i="6"/>
  <c r="I65" i="6" s="1"/>
  <c r="J51" i="6"/>
  <c r="J18" i="6"/>
  <c r="J17" i="6"/>
  <c r="J19" i="6" s="1"/>
  <c r="J14" i="6"/>
  <c r="J10" i="6"/>
  <c r="J6" i="6"/>
  <c r="S23" i="2"/>
  <c r="S22" i="2"/>
  <c r="S21" i="2"/>
  <c r="S18" i="2"/>
  <c r="S17" i="2"/>
  <c r="S16" i="2"/>
  <c r="S15" i="2"/>
  <c r="T16" i="2"/>
  <c r="T15" i="2"/>
  <c r="U20" i="2"/>
  <c r="T23" i="2"/>
  <c r="T22" i="2"/>
  <c r="T21" i="2"/>
  <c r="U23" i="2"/>
  <c r="U22" i="2"/>
  <c r="U21" i="2"/>
  <c r="Y16" i="2"/>
  <c r="X16" i="2"/>
  <c r="X15" i="2"/>
  <c r="Y15" i="2"/>
  <c r="Y17" i="2"/>
  <c r="Y18" i="2"/>
  <c r="X17" i="2"/>
  <c r="X18" i="2"/>
  <c r="K63" i="5"/>
  <c r="I63" i="5"/>
  <c r="J62" i="5"/>
  <c r="J61" i="5"/>
  <c r="K59" i="5"/>
  <c r="I59" i="5"/>
  <c r="J58" i="5"/>
  <c r="J57" i="5"/>
  <c r="J59" i="5" s="1"/>
  <c r="K55" i="5"/>
  <c r="I55" i="5"/>
  <c r="J54" i="5"/>
  <c r="J53" i="5"/>
  <c r="J55" i="5" s="1"/>
  <c r="K51" i="5"/>
  <c r="I51" i="5"/>
  <c r="J50" i="5"/>
  <c r="J49" i="5"/>
  <c r="W18" i="2"/>
  <c r="W17" i="2"/>
  <c r="W16" i="2"/>
  <c r="W15" i="2"/>
  <c r="V18" i="2"/>
  <c r="V17" i="2"/>
  <c r="V16" i="2"/>
  <c r="V15" i="2"/>
  <c r="U15" i="2"/>
  <c r="K41" i="5"/>
  <c r="K37" i="5"/>
  <c r="K33" i="5"/>
  <c r="K29" i="5"/>
  <c r="K43" i="5" s="1"/>
  <c r="I41" i="5"/>
  <c r="I37" i="5"/>
  <c r="I33" i="5"/>
  <c r="I29" i="5"/>
  <c r="I43" i="5" s="1"/>
  <c r="J28" i="5"/>
  <c r="J40" i="5"/>
  <c r="J39" i="5"/>
  <c r="J41" i="5" s="1"/>
  <c r="J36" i="5"/>
  <c r="J35" i="5"/>
  <c r="J37" i="5" s="1"/>
  <c r="J32" i="5"/>
  <c r="J31" i="5"/>
  <c r="J33" i="5" s="1"/>
  <c r="J27" i="5"/>
  <c r="J29" i="5" s="1"/>
  <c r="U16" i="2"/>
  <c r="U17" i="2"/>
  <c r="U18" i="2"/>
  <c r="T17" i="2"/>
  <c r="T18" i="2"/>
  <c r="K19" i="5"/>
  <c r="I19" i="5"/>
  <c r="J18" i="5"/>
  <c r="J17" i="5"/>
  <c r="K15" i="5"/>
  <c r="I15" i="5"/>
  <c r="J14" i="5"/>
  <c r="J13" i="5"/>
  <c r="J15" i="5" s="1"/>
  <c r="K11" i="5"/>
  <c r="I11" i="5"/>
  <c r="J10" i="5"/>
  <c r="J9" i="5"/>
  <c r="K7" i="5"/>
  <c r="I7" i="5"/>
  <c r="J6" i="5"/>
  <c r="J5" i="5"/>
  <c r="K63" i="4"/>
  <c r="I63" i="4"/>
  <c r="J62" i="4"/>
  <c r="J61" i="4"/>
  <c r="K59" i="4"/>
  <c r="I59" i="4"/>
  <c r="J58" i="4"/>
  <c r="J57" i="4"/>
  <c r="K55" i="4"/>
  <c r="I55" i="4"/>
  <c r="J54" i="4"/>
  <c r="J53" i="4"/>
  <c r="K51" i="4"/>
  <c r="K65" i="4" s="1"/>
  <c r="I51" i="4"/>
  <c r="I65" i="4" s="1"/>
  <c r="J50" i="4"/>
  <c r="J49" i="4"/>
  <c r="K41" i="4"/>
  <c r="I41" i="4"/>
  <c r="J40" i="4"/>
  <c r="J39" i="4"/>
  <c r="K37" i="4"/>
  <c r="I37" i="4"/>
  <c r="J36" i="4"/>
  <c r="J35" i="4"/>
  <c r="K33" i="4"/>
  <c r="I33" i="4"/>
  <c r="J32" i="4"/>
  <c r="J31" i="4"/>
  <c r="J33" i="4" s="1"/>
  <c r="K29" i="4"/>
  <c r="K43" i="4" s="1"/>
  <c r="I29" i="4"/>
  <c r="J28" i="4"/>
  <c r="J27" i="4"/>
  <c r="J5" i="4"/>
  <c r="J9" i="4"/>
  <c r="K19" i="4"/>
  <c r="I19" i="4"/>
  <c r="J18" i="4"/>
  <c r="J17" i="4"/>
  <c r="J19" i="4" s="1"/>
  <c r="K15" i="4"/>
  <c r="I15" i="4"/>
  <c r="J14" i="4"/>
  <c r="J13" i="4"/>
  <c r="J15" i="4" s="1"/>
  <c r="K11" i="4"/>
  <c r="I11" i="4"/>
  <c r="J10" i="4"/>
  <c r="J11" i="4"/>
  <c r="K7" i="4"/>
  <c r="I7" i="4"/>
  <c r="J6" i="4"/>
  <c r="W13" i="2"/>
  <c r="W11" i="2"/>
  <c r="W12" i="2"/>
  <c r="W10" i="2"/>
  <c r="V11" i="2"/>
  <c r="V12" i="2"/>
  <c r="V13" i="2"/>
  <c r="V10" i="2"/>
  <c r="U11" i="2"/>
  <c r="U12" i="2"/>
  <c r="U13" i="2"/>
  <c r="U10" i="2"/>
  <c r="T11" i="2"/>
  <c r="T12" i="2"/>
  <c r="T13" i="2"/>
  <c r="T10" i="2"/>
  <c r="Y11" i="2"/>
  <c r="Y12" i="2"/>
  <c r="Y13" i="2"/>
  <c r="Y10" i="2"/>
  <c r="Y6" i="2"/>
  <c r="Y7" i="2"/>
  <c r="Y8" i="2"/>
  <c r="Y5" i="2"/>
  <c r="X12" i="2"/>
  <c r="X13" i="2"/>
  <c r="X10" i="2"/>
  <c r="X6" i="2"/>
  <c r="X7" i="2"/>
  <c r="X8" i="2"/>
  <c r="X5" i="2"/>
  <c r="J18" i="3"/>
  <c r="J17" i="3"/>
  <c r="J19" i="3" s="1"/>
  <c r="J14" i="3"/>
  <c r="J13" i="3"/>
  <c r="J15" i="3" s="1"/>
  <c r="J10" i="3"/>
  <c r="J9" i="3"/>
  <c r="J11" i="3" s="1"/>
  <c r="J6" i="3"/>
  <c r="J5" i="3"/>
  <c r="J7" i="3" s="1"/>
  <c r="I19" i="3"/>
  <c r="I15" i="3"/>
  <c r="I11" i="3"/>
  <c r="I7" i="3"/>
  <c r="I21" i="3" s="1"/>
  <c r="K19" i="3"/>
  <c r="K15" i="3"/>
  <c r="K11" i="3"/>
  <c r="K7" i="3"/>
  <c r="K21" i="3" s="1"/>
  <c r="S11" i="2"/>
  <c r="S12" i="2"/>
  <c r="S13" i="2"/>
  <c r="S10" i="2"/>
  <c r="S6" i="2"/>
  <c r="S7" i="2"/>
  <c r="S8" i="2"/>
  <c r="S5" i="2"/>
  <c r="I7" i="7" l="1"/>
  <c r="J5" i="7"/>
  <c r="J7" i="7" s="1"/>
  <c r="I11" i="7"/>
  <c r="J9" i="7"/>
  <c r="J11" i="7" s="1"/>
  <c r="I15" i="7"/>
  <c r="J13" i="7"/>
  <c r="J15" i="7" s="1"/>
  <c r="I25" i="7"/>
  <c r="I29" i="7"/>
  <c r="J27" i="7"/>
  <c r="J29" i="7" s="1"/>
  <c r="I33" i="7"/>
  <c r="J31" i="7"/>
  <c r="J33" i="7" s="1"/>
  <c r="J51" i="4"/>
  <c r="J63" i="5"/>
  <c r="K65" i="6"/>
  <c r="K7" i="6"/>
  <c r="J5" i="6"/>
  <c r="J7" i="6" s="1"/>
  <c r="J9" i="6"/>
  <c r="J11" i="6" s="1"/>
  <c r="I11" i="6"/>
  <c r="I21" i="6" s="1"/>
  <c r="J13" i="6"/>
  <c r="J15" i="6" s="1"/>
  <c r="I15" i="6"/>
  <c r="J65" i="6"/>
  <c r="I65" i="5"/>
  <c r="J51" i="5"/>
  <c r="J65" i="5" s="1"/>
  <c r="K65" i="5"/>
  <c r="J43" i="5"/>
  <c r="J19" i="5"/>
  <c r="J11" i="5"/>
  <c r="J21" i="3"/>
  <c r="J29" i="4"/>
  <c r="J41" i="4"/>
  <c r="J55" i="4"/>
  <c r="J59" i="4"/>
  <c r="J63" i="4"/>
  <c r="K21" i="5"/>
  <c r="J7" i="5"/>
  <c r="J21" i="5" s="1"/>
  <c r="I21" i="5"/>
  <c r="J37" i="4"/>
  <c r="I43" i="4"/>
  <c r="I21" i="4"/>
  <c r="J7" i="4"/>
  <c r="J21" i="4" s="1"/>
  <c r="K21" i="4"/>
  <c r="K29" i="1"/>
  <c r="I24" i="1"/>
  <c r="J24" i="1" s="1"/>
  <c r="I25" i="1"/>
  <c r="J25" i="1"/>
  <c r="I26" i="1"/>
  <c r="J26" i="1"/>
  <c r="I27" i="1"/>
  <c r="J27" i="1"/>
  <c r="I28" i="1"/>
  <c r="J28" i="1" s="1"/>
  <c r="I23" i="1"/>
  <c r="I29" i="1" s="1"/>
  <c r="I4" i="1"/>
  <c r="J4" i="1" s="1"/>
  <c r="I5" i="1"/>
  <c r="J5" i="1"/>
  <c r="I6" i="1"/>
  <c r="J6" i="1"/>
  <c r="I7" i="1"/>
  <c r="J7" i="1" s="1"/>
  <c r="I8" i="1"/>
  <c r="J8" i="1" s="1"/>
  <c r="I9" i="1"/>
  <c r="J9" i="1"/>
  <c r="I10" i="1"/>
  <c r="J10" i="1"/>
  <c r="I11" i="1"/>
  <c r="J11" i="1" s="1"/>
  <c r="I12" i="1"/>
  <c r="J12" i="1" s="1"/>
  <c r="I13" i="1"/>
  <c r="J13" i="1"/>
  <c r="I14" i="1"/>
  <c r="J14" i="1"/>
  <c r="I15" i="1"/>
  <c r="J15" i="1" s="1"/>
  <c r="I16" i="1"/>
  <c r="J16" i="1" s="1"/>
  <c r="I17" i="1"/>
  <c r="J17" i="1"/>
  <c r="I18" i="1"/>
  <c r="J18" i="1"/>
  <c r="I19" i="1"/>
  <c r="J19" i="1" s="1"/>
  <c r="I20" i="1"/>
  <c r="J20" i="1" s="1"/>
  <c r="I3" i="1"/>
  <c r="J3" i="1" s="1"/>
  <c r="J21" i="1" s="1"/>
  <c r="K21" i="1"/>
  <c r="J35" i="7" l="1"/>
  <c r="I35" i="7"/>
  <c r="J21" i="6"/>
  <c r="J17" i="7"/>
  <c r="I17" i="7"/>
  <c r="J65" i="4"/>
  <c r="I21" i="1"/>
  <c r="J23" i="1"/>
  <c r="J29" i="1" s="1"/>
  <c r="J4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contador5</author>
  </authors>
  <commentList>
    <comment ref="J48" authorId="0" shapeId="0" xr:uid="{C0434097-69CA-4020-96BD-F4FECCBBC7A9}">
      <text>
        <r>
          <rPr>
            <b/>
            <sz val="9"/>
            <color indexed="81"/>
            <rFont val="Tahoma"/>
            <charset val="1"/>
          </rPr>
          <t>contador5:</t>
        </r>
        <r>
          <rPr>
            <sz val="9"/>
            <color indexed="81"/>
            <rFont val="Tahoma"/>
            <charset val="1"/>
          </rPr>
          <t xml:space="preserve">
4612.82</t>
        </r>
      </text>
    </comment>
    <comment ref="K48" authorId="0" shapeId="0" xr:uid="{3069A666-DC7F-4016-B398-00D098F62FB7}">
      <text>
        <r>
          <rPr>
            <b/>
            <sz val="9"/>
            <color indexed="81"/>
            <rFont val="Tahoma"/>
            <charset val="1"/>
          </rPr>
          <t>contador5:</t>
        </r>
        <r>
          <rPr>
            <sz val="9"/>
            <color indexed="81"/>
            <rFont val="Tahoma"/>
            <charset val="1"/>
          </rPr>
          <t xml:space="preserve">
3717.07</t>
        </r>
      </text>
    </comment>
  </commentList>
</comments>
</file>

<file path=xl/sharedStrings.xml><?xml version="1.0" encoding="utf-8"?>
<sst xmlns="http://schemas.openxmlformats.org/spreadsheetml/2006/main" count="723" uniqueCount="108">
  <si>
    <t>Fecha</t>
  </si>
  <si>
    <t>Serie</t>
  </si>
  <si>
    <t>Folio</t>
  </si>
  <si>
    <t>Razón Social</t>
  </si>
  <si>
    <t>Nombre del agente</t>
  </si>
  <si>
    <t>Total</t>
  </si>
  <si>
    <t>UUID</t>
  </si>
  <si>
    <t>UUID Descripción</t>
  </si>
  <si>
    <t>FF</t>
  </si>
  <si>
    <t>EXPERIENCIAS XCARET PARQUES</t>
  </si>
  <si>
    <t>LUCIA CONTRERAS FONSECA</t>
  </si>
  <si>
    <t>6C3ABE8F-3BF6-463A-B0EC-3B1F8B3E6648</t>
  </si>
  <si>
    <t>Vigente</t>
  </si>
  <si>
    <t>4C47E10D-3C29-4806-8C22-7C00C24FA6BA</t>
  </si>
  <si>
    <t>0F490338-9503-443D-992C-DBF38EE02EEC</t>
  </si>
  <si>
    <t>RODRIGO ALONSO MENDEZ</t>
  </si>
  <si>
    <t>BB6B7F55-75FD-412D-9B9D-63FE991400F9</t>
  </si>
  <si>
    <t>ALBERTO ROMERO</t>
  </si>
  <si>
    <t>FF974DAF-CFEF-4678-82F9-76F57C925A82</t>
  </si>
  <si>
    <t>6D35EF04-38B0-4BD7-8EBD-CCBFA2B49C9A</t>
  </si>
  <si>
    <t>B4CB3155-1C50-4C73-8E72-0CAAE614BF6A</t>
  </si>
  <si>
    <t>0B66A287-6B35-4ECF-8A74-078E625F9CB7</t>
  </si>
  <si>
    <t>AF4FA5A1-E620-4D36-8DC7-839689CFE53A</t>
  </si>
  <si>
    <t>AA0379EB-5513-4799-A35F-C68AEAD8BB96</t>
  </si>
  <si>
    <t>EXPERIENCIAS XCARET PARQUES, S.A.P.I. DE C.V.</t>
  </si>
  <si>
    <t>634433C2-0550-455E-BDE2-3D587D9F9287</t>
  </si>
  <si>
    <t>77E4CB65-26AF-4AFA-A46D-56E6B138F7C2</t>
  </si>
  <si>
    <t>2A0C4CB9-DCAD-4A83-B90A-107B03F0AC3C</t>
  </si>
  <si>
    <t>D586B3E6-9D59-4093-8B29-DDA33A1A6268</t>
  </si>
  <si>
    <t>7F185AC7-3A48-4B84-A3C5-C725A28B35E6</t>
  </si>
  <si>
    <t>E84735F8-B0CF-458D-82A0-35A23BE127D4</t>
  </si>
  <si>
    <t>D92F2AFE-3672-42C1-B441-2FA742A0C87B</t>
  </si>
  <si>
    <t>978E9683-0BB5-4E00-9B0D-46FD5FAFBFC5</t>
  </si>
  <si>
    <t>C62E3307-8E57-4D6C-A1DB-F137F9E4EEED</t>
  </si>
  <si>
    <t>DC2EF64C-AE51-49D1-A636-C08FE8A90D4E</t>
  </si>
  <si>
    <t>796BEF17-0028-4C9E-95C6-95682A73550A</t>
  </si>
  <si>
    <t>E42DB2D5-709D-457B-886A-078C864BFACF</t>
  </si>
  <si>
    <t>81F509C5-EB2F-4B80-9580-F012C3536E13</t>
  </si>
  <si>
    <t>B54D0AEF-F941-4C27-A64D-CC973BFF1B0C</t>
  </si>
  <si>
    <t>Cuatrimestre</t>
  </si>
  <si>
    <t>Año</t>
  </si>
  <si>
    <t>OTC080114C30</t>
  </si>
  <si>
    <t>xcaret.compras5@occidentalhotels.com</t>
  </si>
  <si>
    <t>Servicio de mantenimiento y reparación de básculas</t>
  </si>
  <si>
    <t>CLIENTE</t>
  </si>
  <si>
    <t>RFC</t>
  </si>
  <si>
    <t>CORREO</t>
  </si>
  <si>
    <t>TELEFONO</t>
  </si>
  <si>
    <t>OBJETO DEL CONTRATO</t>
  </si>
  <si>
    <t>Mantenimiento de básculas, revisión y reparación de equipos con suministro de piezas y refacciones, instalación y verificación de componente, ajuste de peso con masa patrón, ajustes mecánicos</t>
  </si>
  <si>
    <t>SERVICIO U OBRA ESPECIALIZADO CONTRATADO</t>
  </si>
  <si>
    <t>NSS</t>
  </si>
  <si>
    <t>CURP</t>
  </si>
  <si>
    <t>Nombre(s)</t>
  </si>
  <si>
    <t>Primer Apellido</t>
  </si>
  <si>
    <t>Segundo Apellido</t>
  </si>
  <si>
    <t>SBC</t>
  </si>
  <si>
    <t>Fecha de inicio del servicio</t>
  </si>
  <si>
    <t>84947203638</t>
  </si>
  <si>
    <t>CAES720101HYNHSL08</t>
  </si>
  <si>
    <t>SELMER JESUS</t>
  </si>
  <si>
    <t>CHAN</t>
  </si>
  <si>
    <t>ESCALANTE</t>
  </si>
  <si>
    <t>180.68</t>
  </si>
  <si>
    <t>01/09/2022</t>
  </si>
  <si>
    <t>84897224865</t>
  </si>
  <si>
    <t>HEDJ721205HYNRZR03</t>
  </si>
  <si>
    <t>JORGE MANUEL</t>
  </si>
  <si>
    <t>HERNANDEZ</t>
  </si>
  <si>
    <t>DIAZ</t>
  </si>
  <si>
    <t>84048300093</t>
  </si>
  <si>
    <t>MAPM830627HYNDCR02</t>
  </si>
  <si>
    <t>MARIO JOSE</t>
  </si>
  <si>
    <t>MADERA</t>
  </si>
  <si>
    <t>PUCH</t>
  </si>
  <si>
    <t>11018330230</t>
  </si>
  <si>
    <t>VALI831230HQRZNV02</t>
  </si>
  <si>
    <t>IVAN</t>
  </si>
  <si>
    <t>VAZQUEZ</t>
  </si>
  <si>
    <t>LUNA</t>
  </si>
  <si>
    <t>Subtotal</t>
  </si>
  <si>
    <t>IVA</t>
  </si>
  <si>
    <t>SD</t>
  </si>
  <si>
    <t>Aportación Patronal sin Creditos</t>
  </si>
  <si>
    <t>Aportación Patronal con Creditos</t>
  </si>
  <si>
    <t>Amortizaciones</t>
  </si>
  <si>
    <t>2do</t>
  </si>
  <si>
    <t>Bimestre</t>
  </si>
  <si>
    <t>5to</t>
  </si>
  <si>
    <t>6to</t>
  </si>
  <si>
    <t>Fecha Real de Inicio</t>
  </si>
  <si>
    <t>Factor de Integracion</t>
  </si>
  <si>
    <t>SDI</t>
  </si>
  <si>
    <t>Total 3er Cuatrimestre</t>
  </si>
  <si>
    <t>1ro Bimestre</t>
  </si>
  <si>
    <t>2do Bimestre</t>
  </si>
  <si>
    <t>3ro Bimestre</t>
  </si>
  <si>
    <t>4to Bimestre</t>
  </si>
  <si>
    <t>5to Bimestre</t>
  </si>
  <si>
    <t>6to Bimestre</t>
  </si>
  <si>
    <t>1ro</t>
  </si>
  <si>
    <t>Total 1er Cuatrimestre</t>
  </si>
  <si>
    <t>3ro</t>
  </si>
  <si>
    <t>4to</t>
  </si>
  <si>
    <t>Total 2do Cuatrimestre</t>
  </si>
  <si>
    <t>Total 3ro Cuatrimestre</t>
  </si>
  <si>
    <t>revisado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</si>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</sst>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3" fontId="0" fillId="0" borderId="0" xfId="2" applyFont="1" applyAlignment="1">
      <alignment horizontal="center"/>
    </xf>
    <xf numFmtId="43" fontId="7" fillId="0" borderId="0" xfId="2" applyFont="1" applyAlignment="1">
      <alignment horizontal="center"/>
    </xf>
    <xf numFmtId="0" fontId="7" fillId="0" borderId="0" xfId="0" applyFont="1"/>
    <xf numFmtId="43" fontId="7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43" fontId="2" fillId="0" borderId="0" xfId="2" applyFont="1" applyAlignment="1">
      <alignment horizontal="center" vertical="center"/>
    </xf>
    <xf numFmtId="43" fontId="2" fillId="2" borderId="0" xfId="2" applyFont="1" applyFill="1" applyAlignment="1">
      <alignment horizontal="center" vertical="center"/>
    </xf>
    <xf numFmtId="0" fontId="0" fillId="2" borderId="0" xfId="0" applyFill="1"/>
    <xf numFmtId="43" fontId="2" fillId="0" borderId="0" xfId="2" applyFont="1" applyFill="1" applyAlignment="1">
      <alignment horizontal="center" vertical="center"/>
    </xf>
    <xf numFmtId="43" fontId="0" fillId="0" borderId="0" xfId="0" applyNumberFormat="1"/>
    <xf numFmtId="43" fontId="0" fillId="2" borderId="0" xfId="2" applyFont="1" applyFill="1" applyAlignment="1">
      <alignment horizontal="center"/>
    </xf>
    <xf numFmtId="43" fontId="0" fillId="0" borderId="0" xfId="2" applyFont="1" applyFill="1" applyAlignment="1">
      <alignment horizontal="center"/>
    </xf>
    <xf numFmtId="43" fontId="7" fillId="3" borderId="0" xfId="0" applyNumberFormat="1" applyFont="1" applyFill="1"/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xcaret.compras5@occidentalhotels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29"/>
  <sheetViews>
    <sheetView workbookViewId="0">
      <selection activeCell="A26" sqref="A26"/>
    </sheetView>
  </sheetViews>
  <sheetFormatPr baseColWidth="10" defaultRowHeight="15" x14ac:dyDescent="0.25"/>
  <cols>
    <col min="2" max="2" width="11.42578125" style="11"/>
    <col min="3" max="3" width="11.7109375" style="11" customWidth="1"/>
    <col min="5" max="5" width="5.5703125" bestFit="1" customWidth="1"/>
    <col min="6" max="6" width="5.42578125" style="5" bestFit="1" customWidth="1"/>
    <col min="7" max="7" width="44.140625" bestFit="1" customWidth="1"/>
    <col min="8" max="8" width="26.140625" bestFit="1" customWidth="1"/>
    <col min="9" max="9" width="18.85546875" customWidth="1"/>
    <col min="10" max="10" width="18.5703125" customWidth="1"/>
    <col min="12" max="12" width="39.7109375" bestFit="1" customWidth="1"/>
    <col min="13" max="13" width="16.28515625" bestFit="1" customWidth="1"/>
  </cols>
  <sheetData>
    <row r="1" spans="2:13" x14ac:dyDescent="0.25">
      <c r="D1" s="1"/>
      <c r="E1" s="2"/>
      <c r="F1" s="4"/>
      <c r="G1" s="2"/>
      <c r="H1" s="2"/>
      <c r="I1" s="2"/>
      <c r="J1" s="2"/>
      <c r="K1" s="1"/>
      <c r="L1" s="2"/>
      <c r="M1" s="2"/>
    </row>
    <row r="2" spans="2:13" ht="30" x14ac:dyDescent="0.25">
      <c r="B2" s="11" t="s">
        <v>40</v>
      </c>
      <c r="C2" s="11" t="s">
        <v>39</v>
      </c>
      <c r="D2" s="6" t="s">
        <v>0</v>
      </c>
      <c r="E2" s="7" t="s">
        <v>1</v>
      </c>
      <c r="F2" s="8" t="s">
        <v>2</v>
      </c>
      <c r="G2" s="7" t="s">
        <v>3</v>
      </c>
      <c r="H2" s="7" t="s">
        <v>4</v>
      </c>
      <c r="I2" s="7" t="s">
        <v>80</v>
      </c>
      <c r="J2" s="7" t="s">
        <v>81</v>
      </c>
      <c r="K2" s="6" t="s">
        <v>5</v>
      </c>
      <c r="L2" s="7" t="s">
        <v>6</v>
      </c>
      <c r="M2" s="7" t="s">
        <v>7</v>
      </c>
    </row>
    <row r="3" spans="2:13" x14ac:dyDescent="0.25">
      <c r="B3" s="11">
        <v>2022</v>
      </c>
      <c r="C3" s="11">
        <v>2</v>
      </c>
      <c r="D3" s="9">
        <v>44684</v>
      </c>
      <c r="E3" s="7" t="s">
        <v>8</v>
      </c>
      <c r="F3" s="8">
        <v>5310</v>
      </c>
      <c r="G3" s="7" t="s">
        <v>24</v>
      </c>
      <c r="H3" s="7" t="s">
        <v>17</v>
      </c>
      <c r="I3" s="10">
        <f>K3/1.16</f>
        <v>2231.7931034482763</v>
      </c>
      <c r="J3" s="10">
        <f>I3*0.16</f>
        <v>357.08689655172424</v>
      </c>
      <c r="K3" s="10">
        <v>2588.88</v>
      </c>
      <c r="L3" s="7" t="s">
        <v>38</v>
      </c>
      <c r="M3" s="7" t="s">
        <v>12</v>
      </c>
    </row>
    <row r="4" spans="2:13" x14ac:dyDescent="0.25">
      <c r="B4" s="11">
        <v>2022</v>
      </c>
      <c r="C4" s="11">
        <v>2</v>
      </c>
      <c r="D4" s="9">
        <v>44685</v>
      </c>
      <c r="E4" s="7" t="s">
        <v>8</v>
      </c>
      <c r="F4" s="8">
        <v>5314</v>
      </c>
      <c r="G4" s="7" t="s">
        <v>24</v>
      </c>
      <c r="H4" s="7" t="s">
        <v>17</v>
      </c>
      <c r="I4" s="10">
        <f t="shared" ref="I4:I20" si="0">K4/1.16</f>
        <v>5708.8275862068967</v>
      </c>
      <c r="J4" s="10">
        <f t="shared" ref="J4:J20" si="1">I4*0.16</f>
        <v>913.4124137931035</v>
      </c>
      <c r="K4" s="10">
        <v>6622.24</v>
      </c>
      <c r="L4" s="7" t="s">
        <v>37</v>
      </c>
      <c r="M4" s="7" t="s">
        <v>12</v>
      </c>
    </row>
    <row r="5" spans="2:13" x14ac:dyDescent="0.25">
      <c r="B5" s="11">
        <v>2022</v>
      </c>
      <c r="C5" s="11">
        <v>2</v>
      </c>
      <c r="D5" s="9">
        <v>44725</v>
      </c>
      <c r="E5" s="7" t="s">
        <v>8</v>
      </c>
      <c r="F5" s="8">
        <v>5411</v>
      </c>
      <c r="G5" s="7" t="s">
        <v>24</v>
      </c>
      <c r="H5" s="7" t="s">
        <v>17</v>
      </c>
      <c r="I5" s="10">
        <f t="shared" si="0"/>
        <v>6446.3448275862074</v>
      </c>
      <c r="J5" s="10">
        <f t="shared" si="1"/>
        <v>1031.4151724137932</v>
      </c>
      <c r="K5" s="10">
        <v>7477.76</v>
      </c>
      <c r="L5" s="7" t="s">
        <v>36</v>
      </c>
      <c r="M5" s="7" t="s">
        <v>12</v>
      </c>
    </row>
    <row r="6" spans="2:13" x14ac:dyDescent="0.25">
      <c r="B6" s="11">
        <v>2022</v>
      </c>
      <c r="C6" s="11">
        <v>2</v>
      </c>
      <c r="D6" s="9">
        <v>44733</v>
      </c>
      <c r="E6" s="7" t="s">
        <v>8</v>
      </c>
      <c r="F6" s="8">
        <v>5440</v>
      </c>
      <c r="G6" s="7" t="s">
        <v>24</v>
      </c>
      <c r="H6" s="7" t="s">
        <v>17</v>
      </c>
      <c r="I6" s="10">
        <f t="shared" si="0"/>
        <v>6097.6896551724139</v>
      </c>
      <c r="J6" s="10">
        <f t="shared" si="1"/>
        <v>975.63034482758621</v>
      </c>
      <c r="K6" s="10">
        <v>7073.32</v>
      </c>
      <c r="L6" s="7" t="s">
        <v>35</v>
      </c>
      <c r="M6" s="7" t="s">
        <v>12</v>
      </c>
    </row>
    <row r="7" spans="2:13" x14ac:dyDescent="0.25">
      <c r="B7" s="11">
        <v>2022</v>
      </c>
      <c r="C7" s="11">
        <v>2</v>
      </c>
      <c r="D7" s="9">
        <v>44735</v>
      </c>
      <c r="E7" s="7" t="s">
        <v>8</v>
      </c>
      <c r="F7" s="8">
        <v>5447</v>
      </c>
      <c r="G7" s="7" t="s">
        <v>24</v>
      </c>
      <c r="H7" s="7" t="s">
        <v>17</v>
      </c>
      <c r="I7" s="10">
        <f t="shared" si="0"/>
        <v>2854.4051724137935</v>
      </c>
      <c r="J7" s="10">
        <f t="shared" si="1"/>
        <v>456.70482758620699</v>
      </c>
      <c r="K7" s="10">
        <v>3311.11</v>
      </c>
      <c r="L7" s="7" t="s">
        <v>34</v>
      </c>
      <c r="M7" s="7" t="s">
        <v>12</v>
      </c>
    </row>
    <row r="8" spans="2:13" x14ac:dyDescent="0.25">
      <c r="B8" s="11">
        <v>2022</v>
      </c>
      <c r="C8" s="11">
        <v>2</v>
      </c>
      <c r="D8" s="9">
        <v>44796</v>
      </c>
      <c r="E8" s="7" t="s">
        <v>8</v>
      </c>
      <c r="F8" s="8">
        <v>5667</v>
      </c>
      <c r="G8" s="7" t="s">
        <v>24</v>
      </c>
      <c r="H8" s="7" t="s">
        <v>17</v>
      </c>
      <c r="I8" s="10">
        <f t="shared" si="0"/>
        <v>4128.3534482758623</v>
      </c>
      <c r="J8" s="10">
        <f t="shared" si="1"/>
        <v>660.53655172413801</v>
      </c>
      <c r="K8" s="10">
        <v>4788.8900000000003</v>
      </c>
      <c r="L8" s="7" t="s">
        <v>28</v>
      </c>
      <c r="M8" s="7" t="s">
        <v>12</v>
      </c>
    </row>
    <row r="9" spans="2:13" x14ac:dyDescent="0.25">
      <c r="B9" s="11">
        <v>2022</v>
      </c>
      <c r="C9" s="11">
        <v>2</v>
      </c>
      <c r="D9" s="9">
        <v>44796</v>
      </c>
      <c r="E9" s="7" t="s">
        <v>8</v>
      </c>
      <c r="F9" s="8">
        <v>5666</v>
      </c>
      <c r="G9" s="7" t="s">
        <v>24</v>
      </c>
      <c r="H9" s="7" t="s">
        <v>17</v>
      </c>
      <c r="I9" s="10">
        <f t="shared" si="0"/>
        <v>1637.9310344827588</v>
      </c>
      <c r="J9" s="10">
        <f t="shared" si="1"/>
        <v>262.06896551724139</v>
      </c>
      <c r="K9" s="10">
        <v>1900</v>
      </c>
      <c r="L9" s="7" t="s">
        <v>29</v>
      </c>
      <c r="M9" s="7" t="s">
        <v>12</v>
      </c>
    </row>
    <row r="10" spans="2:13" x14ac:dyDescent="0.25">
      <c r="B10" s="11">
        <v>2022</v>
      </c>
      <c r="C10" s="11">
        <v>2</v>
      </c>
      <c r="D10" s="9">
        <v>44796</v>
      </c>
      <c r="E10" s="7" t="s">
        <v>8</v>
      </c>
      <c r="F10" s="8">
        <v>5665</v>
      </c>
      <c r="G10" s="7" t="s">
        <v>24</v>
      </c>
      <c r="H10" s="7" t="s">
        <v>17</v>
      </c>
      <c r="I10" s="10">
        <f t="shared" si="0"/>
        <v>1341</v>
      </c>
      <c r="J10" s="10">
        <f t="shared" si="1"/>
        <v>214.56</v>
      </c>
      <c r="K10" s="10">
        <v>1555.56</v>
      </c>
      <c r="L10" s="7" t="s">
        <v>30</v>
      </c>
      <c r="M10" s="7" t="s">
        <v>12</v>
      </c>
    </row>
    <row r="11" spans="2:13" x14ac:dyDescent="0.25">
      <c r="B11" s="11">
        <v>2022</v>
      </c>
      <c r="C11" s="11">
        <v>2</v>
      </c>
      <c r="D11" s="9">
        <v>44796</v>
      </c>
      <c r="E11" s="7" t="s">
        <v>8</v>
      </c>
      <c r="F11" s="8">
        <v>5664</v>
      </c>
      <c r="G11" s="7" t="s">
        <v>24</v>
      </c>
      <c r="H11" s="7" t="s">
        <v>17</v>
      </c>
      <c r="I11" s="10">
        <f t="shared" si="0"/>
        <v>1676.2500000000002</v>
      </c>
      <c r="J11" s="10">
        <f t="shared" si="1"/>
        <v>268.20000000000005</v>
      </c>
      <c r="K11" s="10">
        <v>1944.45</v>
      </c>
      <c r="L11" s="7" t="s">
        <v>31</v>
      </c>
      <c r="M11" s="7" t="s">
        <v>12</v>
      </c>
    </row>
    <row r="12" spans="2:13" x14ac:dyDescent="0.25">
      <c r="B12" s="11">
        <v>2022</v>
      </c>
      <c r="C12" s="11">
        <v>2</v>
      </c>
      <c r="D12" s="9">
        <v>44796</v>
      </c>
      <c r="E12" s="7" t="s">
        <v>8</v>
      </c>
      <c r="F12" s="8">
        <v>5662</v>
      </c>
      <c r="G12" s="7" t="s">
        <v>24</v>
      </c>
      <c r="H12" s="7" t="s">
        <v>17</v>
      </c>
      <c r="I12" s="10">
        <f t="shared" si="0"/>
        <v>3218.3879310344828</v>
      </c>
      <c r="J12" s="10">
        <f t="shared" si="1"/>
        <v>514.94206896551725</v>
      </c>
      <c r="K12" s="10">
        <v>3733.33</v>
      </c>
      <c r="L12" s="7" t="s">
        <v>32</v>
      </c>
      <c r="M12" s="7" t="s">
        <v>12</v>
      </c>
    </row>
    <row r="13" spans="2:13" x14ac:dyDescent="0.25">
      <c r="B13" s="11">
        <v>2022</v>
      </c>
      <c r="C13" s="11">
        <v>2</v>
      </c>
      <c r="D13" s="9">
        <v>44796</v>
      </c>
      <c r="E13" s="7" t="s">
        <v>8</v>
      </c>
      <c r="F13" s="8">
        <v>5659</v>
      </c>
      <c r="G13" s="7" t="s">
        <v>24</v>
      </c>
      <c r="H13" s="7" t="s">
        <v>17</v>
      </c>
      <c r="I13" s="10">
        <f t="shared" si="0"/>
        <v>1273.9482758620691</v>
      </c>
      <c r="J13" s="10">
        <f t="shared" si="1"/>
        <v>203.83172413793105</v>
      </c>
      <c r="K13" s="10">
        <v>1477.78</v>
      </c>
      <c r="L13" s="7" t="s">
        <v>33</v>
      </c>
      <c r="M13" s="7" t="s">
        <v>12</v>
      </c>
    </row>
    <row r="14" spans="2:13" x14ac:dyDescent="0.25">
      <c r="B14" s="11">
        <v>2022</v>
      </c>
      <c r="C14" s="11">
        <v>3</v>
      </c>
      <c r="D14" s="9">
        <v>44810</v>
      </c>
      <c r="E14" s="7" t="s">
        <v>8</v>
      </c>
      <c r="F14" s="8">
        <v>5732</v>
      </c>
      <c r="G14" s="7" t="s">
        <v>24</v>
      </c>
      <c r="H14" s="7" t="s">
        <v>17</v>
      </c>
      <c r="I14" s="10">
        <f t="shared" si="0"/>
        <v>3505.7500000000005</v>
      </c>
      <c r="J14" s="10">
        <f t="shared" si="1"/>
        <v>560.92000000000007</v>
      </c>
      <c r="K14" s="10">
        <v>4066.67</v>
      </c>
      <c r="L14" s="7" t="s">
        <v>27</v>
      </c>
      <c r="M14" s="7" t="s">
        <v>12</v>
      </c>
    </row>
    <row r="15" spans="2:13" x14ac:dyDescent="0.25">
      <c r="B15" s="11">
        <v>2022</v>
      </c>
      <c r="C15" s="11">
        <v>3</v>
      </c>
      <c r="D15" s="9">
        <v>44853</v>
      </c>
      <c r="E15" s="7" t="s">
        <v>8</v>
      </c>
      <c r="F15" s="8">
        <v>5818</v>
      </c>
      <c r="G15" s="7" t="s">
        <v>24</v>
      </c>
      <c r="H15" s="7" t="s">
        <v>17</v>
      </c>
      <c r="I15" s="10">
        <f t="shared" si="0"/>
        <v>4463.6034482758623</v>
      </c>
      <c r="J15" s="10">
        <f t="shared" si="1"/>
        <v>714.17655172413799</v>
      </c>
      <c r="K15" s="10">
        <v>5177.78</v>
      </c>
      <c r="L15" s="7" t="s">
        <v>26</v>
      </c>
      <c r="M15" s="7" t="s">
        <v>12</v>
      </c>
    </row>
    <row r="16" spans="2:13" x14ac:dyDescent="0.25">
      <c r="B16" s="11">
        <v>2022</v>
      </c>
      <c r="C16" s="11">
        <v>3</v>
      </c>
      <c r="D16" s="9">
        <v>44868</v>
      </c>
      <c r="E16" s="7" t="s">
        <v>8</v>
      </c>
      <c r="F16" s="8">
        <v>5844</v>
      </c>
      <c r="G16" s="7" t="s">
        <v>24</v>
      </c>
      <c r="H16" s="7" t="s">
        <v>17</v>
      </c>
      <c r="I16" s="10">
        <f t="shared" si="0"/>
        <v>5231</v>
      </c>
      <c r="J16" s="10">
        <f t="shared" si="1"/>
        <v>836.96</v>
      </c>
      <c r="K16" s="10">
        <v>6067.96</v>
      </c>
      <c r="L16" s="7" t="s">
        <v>25</v>
      </c>
      <c r="M16" s="7" t="s">
        <v>12</v>
      </c>
    </row>
    <row r="17" spans="2:13" x14ac:dyDescent="0.25">
      <c r="B17" s="11">
        <v>2022</v>
      </c>
      <c r="C17" s="11">
        <v>3</v>
      </c>
      <c r="D17" s="9">
        <v>44912</v>
      </c>
      <c r="E17" s="7" t="s">
        <v>8</v>
      </c>
      <c r="F17" s="8">
        <v>5902</v>
      </c>
      <c r="G17" s="7" t="s">
        <v>9</v>
      </c>
      <c r="H17" s="7" t="s">
        <v>17</v>
      </c>
      <c r="I17" s="10">
        <f t="shared" si="0"/>
        <v>5105.3620689655181</v>
      </c>
      <c r="J17" s="10">
        <f t="shared" si="1"/>
        <v>816.85793103448293</v>
      </c>
      <c r="K17" s="10">
        <v>5922.22</v>
      </c>
      <c r="L17" s="7" t="s">
        <v>20</v>
      </c>
      <c r="M17" s="7" t="s">
        <v>12</v>
      </c>
    </row>
    <row r="18" spans="2:13" x14ac:dyDescent="0.25">
      <c r="B18" s="11">
        <v>2022</v>
      </c>
      <c r="C18" s="11">
        <v>3</v>
      </c>
      <c r="D18" s="9">
        <v>44912</v>
      </c>
      <c r="E18" s="7" t="s">
        <v>8</v>
      </c>
      <c r="F18" s="8">
        <v>5901</v>
      </c>
      <c r="G18" s="7" t="s">
        <v>9</v>
      </c>
      <c r="H18" s="7" t="s">
        <v>17</v>
      </c>
      <c r="I18" s="10">
        <f t="shared" si="0"/>
        <v>4590.5172413793107</v>
      </c>
      <c r="J18" s="10">
        <f t="shared" si="1"/>
        <v>734.48275862068976</v>
      </c>
      <c r="K18" s="10">
        <v>5325</v>
      </c>
      <c r="L18" s="7" t="s">
        <v>21</v>
      </c>
      <c r="M18" s="7" t="s">
        <v>12</v>
      </c>
    </row>
    <row r="19" spans="2:13" x14ac:dyDescent="0.25">
      <c r="B19" s="11">
        <v>2022</v>
      </c>
      <c r="C19" s="11">
        <v>3</v>
      </c>
      <c r="D19" s="9">
        <v>44912</v>
      </c>
      <c r="E19" s="7" t="s">
        <v>8</v>
      </c>
      <c r="F19" s="8">
        <v>5900</v>
      </c>
      <c r="G19" s="7" t="s">
        <v>9</v>
      </c>
      <c r="H19" s="7" t="s">
        <v>17</v>
      </c>
      <c r="I19" s="10">
        <f t="shared" si="0"/>
        <v>1508.6206896551726</v>
      </c>
      <c r="J19" s="10">
        <f t="shared" si="1"/>
        <v>241.37931034482762</v>
      </c>
      <c r="K19" s="10">
        <v>1750</v>
      </c>
      <c r="L19" s="7" t="s">
        <v>22</v>
      </c>
      <c r="M19" s="7" t="s">
        <v>12</v>
      </c>
    </row>
    <row r="20" spans="2:13" x14ac:dyDescent="0.25">
      <c r="B20" s="11">
        <v>2022</v>
      </c>
      <c r="C20" s="11">
        <v>3</v>
      </c>
      <c r="D20" s="9">
        <v>44912</v>
      </c>
      <c r="E20" s="7" t="s">
        <v>8</v>
      </c>
      <c r="F20" s="8">
        <v>5899</v>
      </c>
      <c r="G20" s="7" t="s">
        <v>9</v>
      </c>
      <c r="H20" s="7" t="s">
        <v>17</v>
      </c>
      <c r="I20" s="10">
        <f t="shared" si="0"/>
        <v>3017.2413793103451</v>
      </c>
      <c r="J20" s="10">
        <f t="shared" si="1"/>
        <v>482.75862068965523</v>
      </c>
      <c r="K20" s="10">
        <v>3500</v>
      </c>
      <c r="L20" s="7" t="s">
        <v>23</v>
      </c>
      <c r="M20" s="7" t="s">
        <v>12</v>
      </c>
    </row>
    <row r="21" spans="2:13" x14ac:dyDescent="0.25">
      <c r="D21" s="9"/>
      <c r="E21" s="7"/>
      <c r="F21" s="8"/>
      <c r="G21" s="7"/>
      <c r="H21" s="7"/>
      <c r="I21" s="17">
        <f t="shared" ref="I21:J21" si="2">SUM(I3:I20)</f>
        <v>64037.025862068978</v>
      </c>
      <c r="J21" s="17">
        <f t="shared" si="2"/>
        <v>10245.924137931037</v>
      </c>
      <c r="K21" s="17">
        <f>SUM(K3:K20)</f>
        <v>74282.949999999983</v>
      </c>
      <c r="L21" s="7"/>
      <c r="M21" s="7"/>
    </row>
    <row r="22" spans="2:13" x14ac:dyDescent="0.25">
      <c r="D22" s="9"/>
      <c r="E22" s="7"/>
      <c r="F22" s="8"/>
      <c r="G22" s="7"/>
      <c r="H22" s="7"/>
      <c r="I22" s="10"/>
      <c r="J22" s="10"/>
      <c r="K22" s="10"/>
      <c r="L22" s="7"/>
      <c r="M22" s="7"/>
    </row>
    <row r="23" spans="2:13" x14ac:dyDescent="0.25">
      <c r="B23" s="11">
        <v>2023</v>
      </c>
      <c r="C23" s="11">
        <v>1</v>
      </c>
      <c r="D23" s="9">
        <v>44992</v>
      </c>
      <c r="E23" s="7" t="s">
        <v>8</v>
      </c>
      <c r="F23" s="8">
        <v>6017</v>
      </c>
      <c r="G23" s="7" t="s">
        <v>9</v>
      </c>
      <c r="H23" s="7" t="s">
        <v>17</v>
      </c>
      <c r="I23" s="10">
        <f t="shared" ref="I23" si="3">K23/1.16</f>
        <v>3885.3017241379312</v>
      </c>
      <c r="J23" s="10">
        <f t="shared" ref="J23:J28" si="4">I23*0.16</f>
        <v>621.648275862069</v>
      </c>
      <c r="K23" s="10">
        <v>4506.95</v>
      </c>
      <c r="L23" s="7" t="s">
        <v>19</v>
      </c>
      <c r="M23" s="7" t="s">
        <v>12</v>
      </c>
    </row>
    <row r="24" spans="2:13" x14ac:dyDescent="0.25">
      <c r="B24" s="11">
        <v>2023</v>
      </c>
      <c r="C24" s="11">
        <v>1</v>
      </c>
      <c r="D24" s="9">
        <v>44999</v>
      </c>
      <c r="E24" s="7" t="s">
        <v>8</v>
      </c>
      <c r="F24" s="8">
        <v>6030</v>
      </c>
      <c r="G24" s="7" t="s">
        <v>9</v>
      </c>
      <c r="H24" s="7" t="s">
        <v>17</v>
      </c>
      <c r="I24" s="10">
        <f t="shared" ref="I24:I28" si="5">K24/1.16</f>
        <v>1206.8965517241379</v>
      </c>
      <c r="J24" s="10">
        <f t="shared" si="4"/>
        <v>193.10344827586206</v>
      </c>
      <c r="K24" s="10">
        <v>1400</v>
      </c>
      <c r="L24" s="7" t="s">
        <v>18</v>
      </c>
      <c r="M24" s="7" t="s">
        <v>12</v>
      </c>
    </row>
    <row r="25" spans="2:13" x14ac:dyDescent="0.25">
      <c r="B25" s="11">
        <v>2023</v>
      </c>
      <c r="C25" s="11">
        <v>1</v>
      </c>
      <c r="D25" s="9">
        <v>45009</v>
      </c>
      <c r="E25" s="7" t="s">
        <v>8</v>
      </c>
      <c r="F25" s="8">
        <v>6046</v>
      </c>
      <c r="G25" s="7" t="s">
        <v>9</v>
      </c>
      <c r="H25" s="7" t="s">
        <v>15</v>
      </c>
      <c r="I25" s="10">
        <f t="shared" si="5"/>
        <v>2909.4827586206898</v>
      </c>
      <c r="J25" s="10">
        <f t="shared" si="4"/>
        <v>465.51724137931035</v>
      </c>
      <c r="K25" s="10">
        <v>3375</v>
      </c>
      <c r="L25" s="7" t="s">
        <v>16</v>
      </c>
      <c r="M25" s="7" t="s">
        <v>12</v>
      </c>
    </row>
    <row r="26" spans="2:13" x14ac:dyDescent="0.25">
      <c r="B26" s="11">
        <v>2023</v>
      </c>
      <c r="C26" s="11">
        <v>2</v>
      </c>
      <c r="D26" s="9">
        <v>45061</v>
      </c>
      <c r="E26" s="7" t="s">
        <v>8</v>
      </c>
      <c r="F26" s="8">
        <v>6102</v>
      </c>
      <c r="G26" s="7" t="s">
        <v>9</v>
      </c>
      <c r="H26" s="7" t="s">
        <v>10</v>
      </c>
      <c r="I26" s="10">
        <f t="shared" si="5"/>
        <v>8780.1810344827591</v>
      </c>
      <c r="J26" s="10">
        <f t="shared" si="4"/>
        <v>1404.8289655172414</v>
      </c>
      <c r="K26" s="10">
        <v>10185.01</v>
      </c>
      <c r="L26" s="7" t="s">
        <v>14</v>
      </c>
      <c r="M26" s="7" t="s">
        <v>12</v>
      </c>
    </row>
    <row r="27" spans="2:13" x14ac:dyDescent="0.25">
      <c r="B27" s="11">
        <v>2023</v>
      </c>
      <c r="C27" s="11">
        <v>2</v>
      </c>
      <c r="D27" s="9">
        <v>45085</v>
      </c>
      <c r="E27" s="7" t="s">
        <v>8</v>
      </c>
      <c r="F27" s="8">
        <v>6140</v>
      </c>
      <c r="G27" s="7" t="s">
        <v>9</v>
      </c>
      <c r="H27" s="7" t="s">
        <v>10</v>
      </c>
      <c r="I27" s="10">
        <f t="shared" si="5"/>
        <v>4101.3017241379312</v>
      </c>
      <c r="J27" s="10">
        <f t="shared" si="4"/>
        <v>656.20827586206894</v>
      </c>
      <c r="K27" s="10">
        <v>4757.51</v>
      </c>
      <c r="L27" s="7" t="s">
        <v>13</v>
      </c>
      <c r="M27" s="7" t="s">
        <v>12</v>
      </c>
    </row>
    <row r="28" spans="2:13" x14ac:dyDescent="0.25">
      <c r="B28" s="11">
        <v>2023</v>
      </c>
      <c r="C28" s="11">
        <v>2</v>
      </c>
      <c r="D28" s="9">
        <v>45090</v>
      </c>
      <c r="E28" s="7" t="s">
        <v>8</v>
      </c>
      <c r="F28" s="8">
        <v>6150</v>
      </c>
      <c r="G28" s="7" t="s">
        <v>9</v>
      </c>
      <c r="H28" s="7" t="s">
        <v>10</v>
      </c>
      <c r="I28" s="10">
        <f t="shared" si="5"/>
        <v>3663.7931034482763</v>
      </c>
      <c r="J28" s="10">
        <f t="shared" si="4"/>
        <v>586.20689655172418</v>
      </c>
      <c r="K28" s="10">
        <v>4250</v>
      </c>
      <c r="L28" s="7" t="s">
        <v>11</v>
      </c>
      <c r="M28" s="7" t="s">
        <v>12</v>
      </c>
    </row>
    <row r="29" spans="2:13" x14ac:dyDescent="0.25">
      <c r="D29" s="1"/>
      <c r="E29" s="2"/>
      <c r="F29" s="4"/>
      <c r="G29" s="2"/>
      <c r="H29" s="2"/>
      <c r="I29" s="3">
        <f>SUM(I23:I28)</f>
        <v>24546.956896551725</v>
      </c>
      <c r="J29" s="3">
        <f>SUM(J23:J28)</f>
        <v>3927.5131034482761</v>
      </c>
      <c r="K29" s="3">
        <f>SUM(K23:K28)</f>
        <v>28474.47</v>
      </c>
      <c r="L29" s="2"/>
      <c r="M29" s="2"/>
    </row>
  </sheetData>
  <sortState xmlns:xlrd2="http://schemas.microsoft.com/office/spreadsheetml/2017/richdata2" ref="D3:K26">
    <sortCondition ref="D3:D26"/>
  </sortState>
  <pageMargins left="0.70866141732283472" right="0.70866141732283472" top="0.74803149606299213" bottom="0.74803149606299213" header="0.31496062992125984" footer="0.31496062992125984"/>
  <pageSetup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A27"/>
  <sheetViews>
    <sheetView topLeftCell="K1" workbookViewId="0">
      <selection activeCell="T9" sqref="T9"/>
    </sheetView>
  </sheetViews>
  <sheetFormatPr baseColWidth="10" defaultRowHeight="14.25" x14ac:dyDescent="0.25"/>
  <cols>
    <col min="1" max="1" width="3.85546875" style="12" customWidth="1"/>
    <col min="2" max="2" width="33.7109375" style="12" customWidth="1"/>
    <col min="3" max="3" width="16.42578125" style="12" bestFit="1" customWidth="1"/>
    <col min="4" max="4" width="59" style="12" customWidth="1"/>
    <col min="5" max="5" width="15" style="12" customWidth="1"/>
    <col min="6" max="6" width="31.85546875" style="12" customWidth="1"/>
    <col min="7" max="7" width="52.7109375" style="12" bestFit="1" customWidth="1"/>
    <col min="8" max="8" width="5.5703125" style="12" bestFit="1" customWidth="1"/>
    <col min="9" max="9" width="18.7109375" style="12" customWidth="1"/>
    <col min="10" max="10" width="25.85546875" style="12" customWidth="1"/>
    <col min="11" max="11" width="19.28515625" style="12" customWidth="1"/>
    <col min="12" max="12" width="22" style="12" customWidth="1"/>
    <col min="13" max="13" width="19.85546875" style="12" customWidth="1"/>
    <col min="14" max="14" width="13.42578125" style="12" customWidth="1"/>
    <col min="15" max="15" width="28.7109375" style="12" customWidth="1"/>
    <col min="16" max="16" width="20" style="12" bestFit="1" customWidth="1"/>
    <col min="17" max="17" width="7.85546875" style="12" bestFit="1" customWidth="1"/>
    <col min="18" max="18" width="12.42578125" style="12" bestFit="1" customWidth="1"/>
    <col min="19" max="19" width="11.42578125" style="12"/>
    <col min="20" max="20" width="14.5703125" style="12" bestFit="1" customWidth="1"/>
    <col min="21" max="21" width="15" style="12" bestFit="1" customWidth="1"/>
    <col min="22" max="22" width="14.5703125" style="12" bestFit="1" customWidth="1"/>
    <col min="23" max="25" width="14.42578125" style="12" bestFit="1" customWidth="1"/>
    <col min="26" max="16384" width="11.42578125" style="12"/>
  </cols>
  <sheetData>
    <row r="3" spans="2:27" ht="37.5" customHeight="1" x14ac:dyDescent="0.25">
      <c r="B3" s="14" t="s">
        <v>44</v>
      </c>
      <c r="C3" s="14" t="s">
        <v>45</v>
      </c>
      <c r="D3" s="14" t="s">
        <v>46</v>
      </c>
      <c r="E3" s="14" t="s">
        <v>47</v>
      </c>
      <c r="F3" s="14" t="s">
        <v>48</v>
      </c>
      <c r="G3" s="14" t="s">
        <v>50</v>
      </c>
      <c r="H3" s="14" t="s">
        <v>40</v>
      </c>
      <c r="I3" s="14" t="s">
        <v>51</v>
      </c>
      <c r="J3" s="14" t="s">
        <v>52</v>
      </c>
      <c r="K3" s="14" t="s">
        <v>53</v>
      </c>
      <c r="L3" s="14" t="s">
        <v>54</v>
      </c>
      <c r="M3" s="14" t="s">
        <v>55</v>
      </c>
      <c r="N3" s="14" t="s">
        <v>56</v>
      </c>
      <c r="O3" s="14" t="s">
        <v>57</v>
      </c>
      <c r="P3" s="14" t="s">
        <v>90</v>
      </c>
      <c r="Q3" s="14" t="s">
        <v>82</v>
      </c>
      <c r="R3" s="25" t="s">
        <v>91</v>
      </c>
      <c r="S3" s="14" t="s">
        <v>92</v>
      </c>
      <c r="T3" s="14" t="s">
        <v>94</v>
      </c>
      <c r="U3" s="14" t="s">
        <v>95</v>
      </c>
      <c r="V3" s="14" t="s">
        <v>96</v>
      </c>
      <c r="W3" s="14" t="s">
        <v>97</v>
      </c>
      <c r="X3" s="14" t="s">
        <v>98</v>
      </c>
      <c r="Y3" s="14" t="s">
        <v>99</v>
      </c>
    </row>
    <row r="4" spans="2:27" s="13" customFormat="1" ht="57" x14ac:dyDescent="0.25">
      <c r="B4" s="13" t="s">
        <v>9</v>
      </c>
      <c r="C4" s="13" t="s">
        <v>41</v>
      </c>
      <c r="D4" s="16" t="s">
        <v>42</v>
      </c>
      <c r="E4" s="13">
        <v>9848715415</v>
      </c>
      <c r="F4" s="13" t="s">
        <v>43</v>
      </c>
      <c r="G4" s="13" t="s">
        <v>49</v>
      </c>
      <c r="I4" s="15"/>
      <c r="J4" s="15"/>
      <c r="K4" s="15"/>
      <c r="L4" s="15"/>
      <c r="M4" s="15"/>
      <c r="N4" s="15"/>
      <c r="O4" s="15"/>
    </row>
    <row r="5" spans="2:27" ht="15" x14ac:dyDescent="0.25">
      <c r="H5" s="12">
        <v>2021</v>
      </c>
      <c r="I5" s="15">
        <v>84947203638</v>
      </c>
      <c r="J5" s="15" t="s">
        <v>59</v>
      </c>
      <c r="K5" s="15" t="s">
        <v>60</v>
      </c>
      <c r="L5" s="15" t="s">
        <v>61</v>
      </c>
      <c r="M5" s="15" t="s">
        <v>62</v>
      </c>
      <c r="N5" s="15">
        <v>149.85</v>
      </c>
      <c r="O5" s="15" t="s">
        <v>64</v>
      </c>
      <c r="P5" s="18">
        <v>44470</v>
      </c>
      <c r="Q5" s="12">
        <v>143.37</v>
      </c>
      <c r="R5" s="12">
        <v>1.0451999999999999</v>
      </c>
      <c r="S5" s="20">
        <f>R5*Q5</f>
        <v>149.850324</v>
      </c>
      <c r="T5" s="20"/>
      <c r="U5" s="20"/>
      <c r="V5" s="20"/>
      <c r="W5" s="20"/>
      <c r="X5" s="28">
        <f>Q5*61</f>
        <v>8745.57</v>
      </c>
      <c r="Y5" s="28">
        <f>+Q5*61</f>
        <v>8745.57</v>
      </c>
      <c r="AA5" s="19"/>
    </row>
    <row r="6" spans="2:27" ht="15" x14ac:dyDescent="0.25">
      <c r="H6" s="12">
        <v>2021</v>
      </c>
      <c r="I6" s="15">
        <v>84897224865</v>
      </c>
      <c r="J6" s="15" t="s">
        <v>66</v>
      </c>
      <c r="K6" s="15" t="s">
        <v>67</v>
      </c>
      <c r="L6" s="15" t="s">
        <v>68</v>
      </c>
      <c r="M6" s="15" t="s">
        <v>69</v>
      </c>
      <c r="N6" s="15">
        <v>151.94</v>
      </c>
      <c r="O6" s="15" t="s">
        <v>64</v>
      </c>
      <c r="P6" s="18">
        <v>44409</v>
      </c>
      <c r="Q6" s="12">
        <v>145.37</v>
      </c>
      <c r="R6" s="12">
        <v>1.0451999999999999</v>
      </c>
      <c r="S6" s="20">
        <f>R6*Q6</f>
        <v>151.94072399999999</v>
      </c>
      <c r="T6" s="20"/>
      <c r="U6" s="20"/>
      <c r="V6" s="20"/>
      <c r="W6" s="20"/>
      <c r="X6" s="28">
        <f t="shared" ref="X6:X8" si="0">Q6*61</f>
        <v>8867.57</v>
      </c>
      <c r="Y6" s="28">
        <f t="shared" ref="Y6:Y8" si="1">+Q6*61</f>
        <v>8867.57</v>
      </c>
    </row>
    <row r="7" spans="2:27" ht="15" x14ac:dyDescent="0.25">
      <c r="H7" s="12">
        <v>2021</v>
      </c>
      <c r="I7" s="15">
        <v>84048300093</v>
      </c>
      <c r="J7" s="15" t="s">
        <v>71</v>
      </c>
      <c r="K7" s="15" t="s">
        <v>72</v>
      </c>
      <c r="L7" s="15" t="s">
        <v>73</v>
      </c>
      <c r="M7" s="15" t="s">
        <v>74</v>
      </c>
      <c r="N7" s="15">
        <v>149.85</v>
      </c>
      <c r="O7" s="15" t="s">
        <v>64</v>
      </c>
      <c r="P7" s="18">
        <v>44470</v>
      </c>
      <c r="Q7" s="12">
        <v>143.37</v>
      </c>
      <c r="R7" s="12">
        <v>1.0451999999999999</v>
      </c>
      <c r="S7" s="20">
        <f>R7*Q7</f>
        <v>149.850324</v>
      </c>
      <c r="T7" s="20"/>
      <c r="U7" s="20"/>
      <c r="V7" s="20"/>
      <c r="W7" s="20"/>
      <c r="X7" s="28">
        <f t="shared" si="0"/>
        <v>8745.57</v>
      </c>
      <c r="Y7" s="28">
        <f t="shared" si="1"/>
        <v>8745.57</v>
      </c>
    </row>
    <row r="8" spans="2:27" ht="15" x14ac:dyDescent="0.25">
      <c r="H8" s="12">
        <v>2021</v>
      </c>
      <c r="I8" s="15">
        <v>11018330230</v>
      </c>
      <c r="J8" s="15" t="s">
        <v>76</v>
      </c>
      <c r="K8" s="15" t="s">
        <v>77</v>
      </c>
      <c r="L8" s="15" t="s">
        <v>78</v>
      </c>
      <c r="M8" s="15" t="s">
        <v>79</v>
      </c>
      <c r="N8" s="15">
        <v>149.85</v>
      </c>
      <c r="O8" s="15" t="s">
        <v>64</v>
      </c>
      <c r="P8" s="18">
        <v>44470</v>
      </c>
      <c r="Q8" s="12">
        <v>143.37</v>
      </c>
      <c r="R8" s="12">
        <v>1.0451999999999999</v>
      </c>
      <c r="S8" s="20">
        <f>R8*Q8</f>
        <v>149.850324</v>
      </c>
      <c r="T8" s="20"/>
      <c r="U8" s="20"/>
      <c r="V8" s="20"/>
      <c r="W8" s="20"/>
      <c r="X8" s="28">
        <f t="shared" si="0"/>
        <v>8745.57</v>
      </c>
      <c r="Y8" s="28">
        <f t="shared" si="1"/>
        <v>8745.57</v>
      </c>
    </row>
    <row r="9" spans="2:27" x14ac:dyDescent="0.25">
      <c r="S9" s="20"/>
      <c r="T9" s="20"/>
      <c r="U9" s="20"/>
      <c r="V9" s="20"/>
      <c r="W9" s="20"/>
    </row>
    <row r="10" spans="2:27" ht="15" x14ac:dyDescent="0.25">
      <c r="H10" s="12">
        <v>2022</v>
      </c>
      <c r="I10" s="15" t="s">
        <v>58</v>
      </c>
      <c r="J10" s="15" t="s">
        <v>59</v>
      </c>
      <c r="K10" s="15" t="s">
        <v>60</v>
      </c>
      <c r="L10" s="15" t="s">
        <v>61</v>
      </c>
      <c r="M10" s="15" t="s">
        <v>62</v>
      </c>
      <c r="N10" s="15" t="s">
        <v>63</v>
      </c>
      <c r="O10" s="15" t="s">
        <v>64</v>
      </c>
      <c r="P10" s="18">
        <v>44470</v>
      </c>
      <c r="Q10" s="12">
        <v>172.87</v>
      </c>
      <c r="R10" s="12">
        <v>1.0451999999999999</v>
      </c>
      <c r="S10" s="20">
        <f>R10*Q10</f>
        <v>180.68372399999998</v>
      </c>
      <c r="T10" s="28">
        <f>Q10*59</f>
        <v>10199.33</v>
      </c>
      <c r="U10" s="28">
        <f>Q10*61</f>
        <v>10545.07</v>
      </c>
      <c r="V10" s="28">
        <f>Q10*61</f>
        <v>10545.07</v>
      </c>
      <c r="W10" s="28">
        <f>+Q10*62</f>
        <v>10717.94</v>
      </c>
      <c r="X10" s="28">
        <f>+Q10*61</f>
        <v>10545.07</v>
      </c>
      <c r="Y10" s="28">
        <f>+Q10*61</f>
        <v>10545.07</v>
      </c>
      <c r="Z10" s="28"/>
      <c r="AA10" s="19"/>
    </row>
    <row r="11" spans="2:27" ht="15" x14ac:dyDescent="0.25">
      <c r="H11" s="12">
        <v>2022</v>
      </c>
      <c r="I11" s="15" t="s">
        <v>65</v>
      </c>
      <c r="J11" s="15" t="s">
        <v>66</v>
      </c>
      <c r="K11" s="15" t="s">
        <v>67</v>
      </c>
      <c r="L11" s="15" t="s">
        <v>68</v>
      </c>
      <c r="M11" s="15" t="s">
        <v>69</v>
      </c>
      <c r="N11" s="15" t="s">
        <v>63</v>
      </c>
      <c r="O11" s="15" t="s">
        <v>64</v>
      </c>
      <c r="P11" s="18">
        <v>44409</v>
      </c>
      <c r="Q11" s="12">
        <v>172.87</v>
      </c>
      <c r="R11" s="12">
        <v>1.0451999999999999</v>
      </c>
      <c r="S11" s="20">
        <f>R11*Q11</f>
        <v>180.68372399999998</v>
      </c>
      <c r="T11" s="28">
        <f t="shared" ref="T11:T13" si="2">Q11*59</f>
        <v>10199.33</v>
      </c>
      <c r="U11" s="28">
        <f t="shared" ref="U11:U13" si="3">Q11*61</f>
        <v>10545.07</v>
      </c>
      <c r="V11" s="28">
        <f t="shared" ref="V11:V13" si="4">Q11*61</f>
        <v>10545.07</v>
      </c>
      <c r="W11" s="28">
        <f t="shared" ref="W11:W12" si="5">+Q11*62</f>
        <v>10717.94</v>
      </c>
      <c r="X11" s="28">
        <f>+Q11*61</f>
        <v>10545.07</v>
      </c>
      <c r="Y11" s="28">
        <f t="shared" ref="Y11:Y13" si="6">+Q11*61</f>
        <v>10545.07</v>
      </c>
      <c r="Z11" s="28"/>
    </row>
    <row r="12" spans="2:27" ht="15" x14ac:dyDescent="0.25">
      <c r="H12" s="12">
        <v>2022</v>
      </c>
      <c r="I12" s="15" t="s">
        <v>70</v>
      </c>
      <c r="J12" s="15" t="s">
        <v>71</v>
      </c>
      <c r="K12" s="15" t="s">
        <v>72</v>
      </c>
      <c r="L12" s="15" t="s">
        <v>73</v>
      </c>
      <c r="M12" s="15" t="s">
        <v>74</v>
      </c>
      <c r="N12" s="15" t="s">
        <v>63</v>
      </c>
      <c r="O12" s="15" t="s">
        <v>64</v>
      </c>
      <c r="P12" s="18">
        <v>44470</v>
      </c>
      <c r="Q12" s="12">
        <v>172.87</v>
      </c>
      <c r="R12" s="12">
        <v>1.0451999999999999</v>
      </c>
      <c r="S12" s="20">
        <f>R12*Q12</f>
        <v>180.68372399999998</v>
      </c>
      <c r="T12" s="28">
        <f t="shared" si="2"/>
        <v>10199.33</v>
      </c>
      <c r="U12" s="28">
        <f t="shared" si="3"/>
        <v>10545.07</v>
      </c>
      <c r="V12" s="28">
        <f t="shared" si="4"/>
        <v>10545.07</v>
      </c>
      <c r="W12" s="28">
        <f t="shared" si="5"/>
        <v>10717.94</v>
      </c>
      <c r="X12" s="28">
        <f t="shared" ref="X12:X13" si="7">+Q12*61</f>
        <v>10545.07</v>
      </c>
      <c r="Y12" s="28">
        <f t="shared" si="6"/>
        <v>10545.07</v>
      </c>
      <c r="Z12" s="28"/>
    </row>
    <row r="13" spans="2:27" ht="15" x14ac:dyDescent="0.25">
      <c r="H13" s="12">
        <v>2022</v>
      </c>
      <c r="I13" s="15" t="s">
        <v>75</v>
      </c>
      <c r="J13" s="15" t="s">
        <v>76</v>
      </c>
      <c r="K13" s="15" t="s">
        <v>77</v>
      </c>
      <c r="L13" s="15" t="s">
        <v>78</v>
      </c>
      <c r="M13" s="15" t="s">
        <v>79</v>
      </c>
      <c r="N13" s="15" t="s">
        <v>63</v>
      </c>
      <c r="O13" s="15" t="s">
        <v>64</v>
      </c>
      <c r="P13" s="18">
        <v>44470</v>
      </c>
      <c r="Q13" s="12">
        <v>172.87</v>
      </c>
      <c r="R13" s="12">
        <v>1.0451999999999999</v>
      </c>
      <c r="S13" s="20">
        <f>R13*Q13</f>
        <v>180.68372399999998</v>
      </c>
      <c r="T13" s="28">
        <f t="shared" si="2"/>
        <v>10199.33</v>
      </c>
      <c r="U13" s="28">
        <f t="shared" si="3"/>
        <v>10545.07</v>
      </c>
      <c r="V13" s="28">
        <f t="shared" si="4"/>
        <v>10545.07</v>
      </c>
      <c r="W13" s="29">
        <f>+Q13*62</f>
        <v>10717.94</v>
      </c>
      <c r="X13" s="28">
        <f t="shared" si="7"/>
        <v>10545.07</v>
      </c>
      <c r="Y13" s="28">
        <f t="shared" si="6"/>
        <v>10545.07</v>
      </c>
      <c r="Z13" s="28"/>
    </row>
    <row r="14" spans="2:27" x14ac:dyDescent="0.25">
      <c r="S14" s="20"/>
      <c r="T14" s="20"/>
      <c r="U14" s="20"/>
      <c r="V14" s="20"/>
      <c r="W14" s="20"/>
    </row>
    <row r="15" spans="2:27" ht="15" x14ac:dyDescent="0.25">
      <c r="H15" s="12">
        <v>2023</v>
      </c>
      <c r="I15" s="15">
        <v>84947203638</v>
      </c>
      <c r="J15" s="15" t="s">
        <v>59</v>
      </c>
      <c r="K15" s="15" t="s">
        <v>60</v>
      </c>
      <c r="L15" s="15" t="s">
        <v>61</v>
      </c>
      <c r="M15" s="15" t="s">
        <v>62</v>
      </c>
      <c r="N15" s="15">
        <v>217.96</v>
      </c>
      <c r="O15" s="15" t="s">
        <v>64</v>
      </c>
      <c r="P15" s="18">
        <v>44470</v>
      </c>
      <c r="Q15" s="12">
        <v>207.44</v>
      </c>
      <c r="R15" s="12">
        <v>1.0507</v>
      </c>
      <c r="S15" s="20">
        <f>R15*Q15</f>
        <v>217.95720799999998</v>
      </c>
      <c r="T15" s="28">
        <f>Q15*59</f>
        <v>12238.96</v>
      </c>
      <c r="U15" s="28">
        <f>+Q15*61</f>
        <v>12653.84</v>
      </c>
      <c r="V15" s="28">
        <f>+Q15*61</f>
        <v>12653.84</v>
      </c>
      <c r="W15" s="28">
        <f>+Q15*62</f>
        <v>12861.28</v>
      </c>
      <c r="X15" s="29">
        <f>+Q15*61</f>
        <v>12653.84</v>
      </c>
      <c r="Y15" s="29">
        <f>+Q15*61</f>
        <v>12653.84</v>
      </c>
    </row>
    <row r="16" spans="2:27" ht="15" x14ac:dyDescent="0.25">
      <c r="H16" s="12">
        <v>2023</v>
      </c>
      <c r="I16" s="15" t="s">
        <v>65</v>
      </c>
      <c r="J16" s="15" t="s">
        <v>66</v>
      </c>
      <c r="K16" s="15" t="s">
        <v>67</v>
      </c>
      <c r="L16" s="15" t="s">
        <v>68</v>
      </c>
      <c r="M16" s="15" t="s">
        <v>69</v>
      </c>
      <c r="N16" s="15">
        <v>217.96</v>
      </c>
      <c r="O16" s="15" t="s">
        <v>64</v>
      </c>
      <c r="P16" s="18">
        <v>44409</v>
      </c>
      <c r="Q16" s="12">
        <v>207.44</v>
      </c>
      <c r="R16" s="12">
        <v>1.0507</v>
      </c>
      <c r="S16" s="20">
        <f>R16*Q16</f>
        <v>217.95720799999998</v>
      </c>
      <c r="T16" s="28">
        <f>Q16*59</f>
        <v>12238.96</v>
      </c>
      <c r="U16" s="28">
        <f t="shared" ref="U16:U18" si="8">+Q16*61</f>
        <v>12653.84</v>
      </c>
      <c r="V16" s="28">
        <f>+Q16*61</f>
        <v>12653.84</v>
      </c>
      <c r="W16" s="28">
        <f>+Q16*62</f>
        <v>12861.28</v>
      </c>
      <c r="X16" s="29">
        <f>+Q16*61</f>
        <v>12653.84</v>
      </c>
      <c r="Y16" s="29">
        <f>+Q16*61</f>
        <v>12653.84</v>
      </c>
    </row>
    <row r="17" spans="8:25" ht="15" x14ac:dyDescent="0.25">
      <c r="H17" s="12">
        <v>2023</v>
      </c>
      <c r="I17" s="15">
        <v>84048300093</v>
      </c>
      <c r="J17" s="15" t="s">
        <v>71</v>
      </c>
      <c r="K17" s="15" t="s">
        <v>72</v>
      </c>
      <c r="L17" s="15" t="s">
        <v>73</v>
      </c>
      <c r="M17" s="15" t="s">
        <v>74</v>
      </c>
      <c r="N17" s="15">
        <v>218.25</v>
      </c>
      <c r="O17" s="15" t="s">
        <v>64</v>
      </c>
      <c r="P17" s="18">
        <v>44470</v>
      </c>
      <c r="Q17" s="12">
        <v>207.44</v>
      </c>
      <c r="R17" s="12">
        <v>1.0521</v>
      </c>
      <c r="S17" s="20">
        <f>R17*Q17</f>
        <v>218.247624</v>
      </c>
      <c r="T17" s="28">
        <f t="shared" ref="T17:T18" si="9">Q17*59</f>
        <v>12238.96</v>
      </c>
      <c r="U17" s="28">
        <f t="shared" si="8"/>
        <v>12653.84</v>
      </c>
      <c r="V17" s="28">
        <f>+Q17*61</f>
        <v>12653.84</v>
      </c>
      <c r="W17" s="28">
        <f>+Q17*62</f>
        <v>12861.28</v>
      </c>
      <c r="X17" s="29">
        <f t="shared" ref="X17:X18" si="10">+Q17*61</f>
        <v>12653.84</v>
      </c>
      <c r="Y17" s="29">
        <f t="shared" ref="Y17:Y18" si="11">+Q17*61</f>
        <v>12653.84</v>
      </c>
    </row>
    <row r="18" spans="8:25" ht="15" x14ac:dyDescent="0.25">
      <c r="H18" s="12">
        <v>2023</v>
      </c>
      <c r="I18" s="15">
        <v>11018330230</v>
      </c>
      <c r="J18" s="15" t="s">
        <v>76</v>
      </c>
      <c r="K18" s="15" t="s">
        <v>77</v>
      </c>
      <c r="L18" s="15" t="s">
        <v>78</v>
      </c>
      <c r="M18" s="15" t="s">
        <v>79</v>
      </c>
      <c r="N18" s="15">
        <v>217.96</v>
      </c>
      <c r="O18" s="15" t="s">
        <v>64</v>
      </c>
      <c r="P18" s="18">
        <v>44470</v>
      </c>
      <c r="Q18" s="12">
        <v>207.44</v>
      </c>
      <c r="R18" s="12">
        <v>1.0507</v>
      </c>
      <c r="S18" s="20">
        <f>R18*Q18</f>
        <v>217.95720799999998</v>
      </c>
      <c r="T18" s="28">
        <f t="shared" si="9"/>
        <v>12238.96</v>
      </c>
      <c r="U18" s="28">
        <f t="shared" si="8"/>
        <v>12653.84</v>
      </c>
      <c r="V18" s="28">
        <f>+Q18*61</f>
        <v>12653.84</v>
      </c>
      <c r="W18" s="28">
        <f>+Q18*62</f>
        <v>12861.28</v>
      </c>
      <c r="X18" s="29">
        <f t="shared" si="10"/>
        <v>12653.84</v>
      </c>
      <c r="Y18" s="29">
        <f t="shared" si="11"/>
        <v>12653.84</v>
      </c>
    </row>
    <row r="20" spans="8:25" ht="15" x14ac:dyDescent="0.25">
      <c r="H20" s="12">
        <v>2024</v>
      </c>
      <c r="I20" s="15">
        <v>84947203638</v>
      </c>
      <c r="J20" s="15" t="s">
        <v>59</v>
      </c>
      <c r="K20" s="15" t="s">
        <v>60</v>
      </c>
      <c r="L20" s="15" t="s">
        <v>61</v>
      </c>
      <c r="M20" s="15" t="s">
        <v>62</v>
      </c>
      <c r="N20" s="15">
        <v>261.89</v>
      </c>
      <c r="O20" s="15" t="s">
        <v>64</v>
      </c>
      <c r="P20" s="18">
        <v>44470</v>
      </c>
      <c r="Q20" s="12">
        <v>248.93</v>
      </c>
      <c r="R20" s="12">
        <v>1.0521</v>
      </c>
      <c r="S20" s="20">
        <f>R20*Q20</f>
        <v>261.89925300000004</v>
      </c>
      <c r="T20" s="28">
        <f>Q20*60</f>
        <v>14935.800000000001</v>
      </c>
      <c r="U20" s="28">
        <f>+Q20*61</f>
        <v>15184.73</v>
      </c>
      <c r="V20" s="31">
        <f>+Q20*61</f>
        <v>15184.73</v>
      </c>
      <c r="W20" s="31">
        <f>+Q20*62</f>
        <v>15433.66</v>
      </c>
      <c r="X20" s="29">
        <f>+Q20*61</f>
        <v>15184.73</v>
      </c>
      <c r="Y20" s="29">
        <f>+Q20*61</f>
        <v>15184.73</v>
      </c>
    </row>
    <row r="21" spans="8:25" ht="15" x14ac:dyDescent="0.25">
      <c r="H21" s="12">
        <v>2024</v>
      </c>
      <c r="I21" s="15" t="s">
        <v>65</v>
      </c>
      <c r="J21" s="15" t="s">
        <v>66</v>
      </c>
      <c r="K21" s="15" t="s">
        <v>67</v>
      </c>
      <c r="L21" s="15" t="s">
        <v>68</v>
      </c>
      <c r="M21" s="15" t="s">
        <v>69</v>
      </c>
      <c r="N21" s="15">
        <v>261.89</v>
      </c>
      <c r="O21" s="15" t="s">
        <v>64</v>
      </c>
      <c r="P21" s="18">
        <v>44409</v>
      </c>
      <c r="Q21" s="12">
        <v>248.93</v>
      </c>
      <c r="R21" s="12">
        <v>1.0521</v>
      </c>
      <c r="S21" s="20">
        <f>R21*Q21</f>
        <v>261.89925300000004</v>
      </c>
      <c r="T21" s="28">
        <f>Q21*60</f>
        <v>14935.800000000001</v>
      </c>
      <c r="U21" s="28">
        <f t="shared" ref="U21:U23" si="12">+Q21*61</f>
        <v>15184.73</v>
      </c>
      <c r="V21" s="31">
        <f>+Q21*61</f>
        <v>15184.73</v>
      </c>
      <c r="W21" s="31">
        <f>+Q21*62</f>
        <v>15433.66</v>
      </c>
      <c r="X21" s="31">
        <f>+Q21*61</f>
        <v>15184.73</v>
      </c>
      <c r="Y21" s="31">
        <f t="shared" ref="Y21" si="13">+Q21*61</f>
        <v>15184.73</v>
      </c>
    </row>
    <row r="22" spans="8:25" ht="15" x14ac:dyDescent="0.25">
      <c r="H22" s="12">
        <v>2024</v>
      </c>
      <c r="I22" s="15">
        <v>84048300093</v>
      </c>
      <c r="J22" s="15" t="s">
        <v>71</v>
      </c>
      <c r="K22" s="15" t="s">
        <v>72</v>
      </c>
      <c r="L22" s="15" t="s">
        <v>73</v>
      </c>
      <c r="M22" s="15" t="s">
        <v>74</v>
      </c>
      <c r="N22" s="15">
        <v>262.23</v>
      </c>
      <c r="O22" s="15" t="s">
        <v>64</v>
      </c>
      <c r="P22" s="18">
        <v>44470</v>
      </c>
      <c r="Q22" s="12">
        <v>248.93</v>
      </c>
      <c r="R22" s="12">
        <v>1.0533999999999999</v>
      </c>
      <c r="S22" s="20">
        <f>R22*Q22</f>
        <v>262.22286199999996</v>
      </c>
      <c r="T22" s="28">
        <f>Q22*60</f>
        <v>14935.800000000001</v>
      </c>
      <c r="U22" s="28">
        <f t="shared" si="12"/>
        <v>15184.73</v>
      </c>
      <c r="V22" s="31">
        <f>+Q22*61</f>
        <v>15184.73</v>
      </c>
      <c r="W22" s="31">
        <f>+Q22*62</f>
        <v>15433.66</v>
      </c>
      <c r="X22" s="31"/>
      <c r="Y22" s="31"/>
    </row>
    <row r="23" spans="8:25" ht="15" x14ac:dyDescent="0.25">
      <c r="H23" s="12">
        <v>2024</v>
      </c>
      <c r="I23" s="15">
        <v>11018330230</v>
      </c>
      <c r="J23" s="15" t="s">
        <v>76</v>
      </c>
      <c r="K23" s="15" t="s">
        <v>77</v>
      </c>
      <c r="L23" s="15" t="s">
        <v>78</v>
      </c>
      <c r="M23" s="15" t="s">
        <v>79</v>
      </c>
      <c r="N23" s="15">
        <v>261.89</v>
      </c>
      <c r="O23" s="15" t="s">
        <v>64</v>
      </c>
      <c r="P23" s="18">
        <v>44470</v>
      </c>
      <c r="Q23" s="12">
        <v>248.93</v>
      </c>
      <c r="R23" s="12">
        <v>1.0521</v>
      </c>
      <c r="S23" s="20">
        <f>R23*Q23</f>
        <v>261.89925300000004</v>
      </c>
      <c r="T23" s="28">
        <f>Q23*60</f>
        <v>14935.800000000001</v>
      </c>
      <c r="U23" s="28">
        <f t="shared" si="12"/>
        <v>15184.73</v>
      </c>
      <c r="V23" s="31">
        <f>+Q23*61</f>
        <v>15184.73</v>
      </c>
      <c r="W23" s="31">
        <f>+Q23*62</f>
        <v>15433.66</v>
      </c>
      <c r="X23" s="31">
        <f>+Q23*61</f>
        <v>15184.73</v>
      </c>
      <c r="Y23" s="31">
        <f>+Q23*61</f>
        <v>15184.73</v>
      </c>
    </row>
    <row r="25" spans="8:25" ht="15" x14ac:dyDescent="0.25">
      <c r="H25" s="12">
        <v>2024</v>
      </c>
      <c r="I25" s="15">
        <v>84947203638</v>
      </c>
      <c r="J25" s="15" t="s">
        <v>59</v>
      </c>
      <c r="K25" s="15" t="s">
        <v>60</v>
      </c>
      <c r="L25" s="15" t="s">
        <v>61</v>
      </c>
      <c r="M25" s="15" t="s">
        <v>62</v>
      </c>
      <c r="N25" s="15">
        <v>261.89</v>
      </c>
      <c r="O25" s="15" t="s">
        <v>64</v>
      </c>
      <c r="P25" s="18">
        <v>44470</v>
      </c>
      <c r="Q25" s="12">
        <v>278.8</v>
      </c>
      <c r="R25" s="12">
        <v>1.0533999999999999</v>
      </c>
      <c r="S25" s="20">
        <f>R25*Q25</f>
        <v>293.68791999999996</v>
      </c>
      <c r="T25" s="28">
        <f>Q25*60</f>
        <v>16728</v>
      </c>
      <c r="U25" s="28">
        <f>+Q25*61</f>
        <v>17006.8</v>
      </c>
      <c r="V25" s="31">
        <f>+Q25*61</f>
        <v>17006.8</v>
      </c>
      <c r="W25" s="31">
        <f>+Q25*62</f>
        <v>17285.600000000002</v>
      </c>
      <c r="X25" s="31"/>
      <c r="Y25" s="31"/>
    </row>
    <row r="26" spans="8:25" ht="15" x14ac:dyDescent="0.25">
      <c r="H26" s="12">
        <v>2024</v>
      </c>
      <c r="I26" s="15" t="s">
        <v>65</v>
      </c>
      <c r="J26" s="15" t="s">
        <v>66</v>
      </c>
      <c r="K26" s="15" t="s">
        <v>67</v>
      </c>
      <c r="L26" s="15" t="s">
        <v>68</v>
      </c>
      <c r="M26" s="15" t="s">
        <v>69</v>
      </c>
      <c r="N26" s="15">
        <v>261.89</v>
      </c>
      <c r="O26" s="15" t="s">
        <v>64</v>
      </c>
      <c r="P26" s="18">
        <v>44409</v>
      </c>
      <c r="Q26" s="12">
        <v>278.8</v>
      </c>
      <c r="R26" s="12">
        <v>1.0533999999999999</v>
      </c>
      <c r="S26" s="20">
        <f>R26*Q26</f>
        <v>293.68791999999996</v>
      </c>
      <c r="T26" s="28">
        <f>Q26*60</f>
        <v>16728</v>
      </c>
      <c r="U26" s="28">
        <f t="shared" ref="U26:U27" si="14">+Q26*61</f>
        <v>17006.8</v>
      </c>
      <c r="V26" s="31">
        <f>+Q26*61</f>
        <v>17006.8</v>
      </c>
      <c r="W26" s="31">
        <f>+Q26*62</f>
        <v>17285.600000000002</v>
      </c>
      <c r="X26" s="31"/>
      <c r="Y26" s="31"/>
    </row>
    <row r="27" spans="8:25" ht="15" x14ac:dyDescent="0.25">
      <c r="H27" s="12">
        <v>2024</v>
      </c>
      <c r="I27" s="15">
        <v>11018330230</v>
      </c>
      <c r="J27" s="15" t="s">
        <v>76</v>
      </c>
      <c r="K27" s="15" t="s">
        <v>77</v>
      </c>
      <c r="L27" s="15" t="s">
        <v>78</v>
      </c>
      <c r="M27" s="15" t="s">
        <v>79</v>
      </c>
      <c r="N27" s="15">
        <v>261.89</v>
      </c>
      <c r="O27" s="15" t="s">
        <v>64</v>
      </c>
      <c r="P27" s="18">
        <v>44470</v>
      </c>
      <c r="Q27" s="12">
        <v>278.8</v>
      </c>
      <c r="R27" s="12">
        <v>1.0533999999999999</v>
      </c>
      <c r="S27" s="20">
        <f>R27*Q27</f>
        <v>293.68791999999996</v>
      </c>
      <c r="T27" s="28">
        <f>Q27*60</f>
        <v>16728</v>
      </c>
      <c r="U27" s="28">
        <f t="shared" si="14"/>
        <v>17006.8</v>
      </c>
      <c r="V27" s="31">
        <f>+Q27*61</f>
        <v>17006.8</v>
      </c>
      <c r="W27" s="31">
        <f>+Q27*62</f>
        <v>17285.600000000002</v>
      </c>
      <c r="X27" s="31"/>
      <c r="Y27" s="31"/>
    </row>
  </sheetData>
  <hyperlinks>
    <hyperlink ref="D4" r:id="rId1" xr:uid="{00000000-0004-0000-01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K21"/>
  <sheetViews>
    <sheetView workbookViewId="0">
      <selection activeCell="F24" sqref="F24"/>
    </sheetView>
  </sheetViews>
  <sheetFormatPr baseColWidth="10" defaultRowHeight="15" x14ac:dyDescent="0.25"/>
  <cols>
    <col min="2" max="2" width="18.85546875" customWidth="1"/>
    <col min="3" max="3" width="12" bestFit="1" customWidth="1"/>
    <col min="4" max="4" width="22.42578125" bestFit="1" customWidth="1"/>
    <col min="5" max="5" width="14.5703125" bestFit="1" customWidth="1"/>
    <col min="6" max="6" width="16.5703125" bestFit="1" customWidth="1"/>
    <col min="7" max="7" width="19" bestFit="1" customWidth="1"/>
    <col min="9" max="9" width="34.28515625" bestFit="1" customWidth="1"/>
    <col min="10" max="10" width="35" bestFit="1" customWidth="1"/>
    <col min="11" max="11" width="16.5703125" bestFit="1" customWidth="1"/>
  </cols>
  <sheetData>
    <row r="3" spans="1:11" x14ac:dyDescent="0.25">
      <c r="A3" s="27" t="s">
        <v>40</v>
      </c>
      <c r="B3" s="14" t="s">
        <v>87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83</v>
      </c>
      <c r="J3" s="14" t="s">
        <v>84</v>
      </c>
      <c r="K3" s="14" t="s">
        <v>85</v>
      </c>
    </row>
    <row r="4" spans="1:11" x14ac:dyDescent="0.25">
      <c r="B4" s="13"/>
      <c r="C4" s="15"/>
      <c r="D4" s="15"/>
      <c r="E4" s="15"/>
      <c r="F4" s="15"/>
      <c r="G4" s="15"/>
      <c r="H4" s="15"/>
    </row>
    <row r="5" spans="1:11" x14ac:dyDescent="0.25">
      <c r="A5" s="27">
        <v>2021</v>
      </c>
      <c r="B5" s="12" t="s">
        <v>88</v>
      </c>
      <c r="C5" s="15">
        <v>84947203638</v>
      </c>
      <c r="D5" s="15" t="s">
        <v>59</v>
      </c>
      <c r="E5" s="15" t="s">
        <v>60</v>
      </c>
      <c r="F5" s="15" t="s">
        <v>61</v>
      </c>
      <c r="G5" s="15" t="s">
        <v>62</v>
      </c>
      <c r="H5" s="15">
        <v>149.85</v>
      </c>
      <c r="I5" s="21">
        <v>232.27</v>
      </c>
      <c r="J5" s="21">
        <f>+K5+I5</f>
        <v>2074.2400000000002</v>
      </c>
      <c r="K5" s="21">
        <v>1841.97</v>
      </c>
    </row>
    <row r="6" spans="1:11" x14ac:dyDescent="0.25">
      <c r="B6" s="12" t="s">
        <v>89</v>
      </c>
      <c r="C6" s="15"/>
      <c r="D6" s="15"/>
      <c r="E6" s="15"/>
      <c r="F6" s="15"/>
      <c r="G6" s="15"/>
      <c r="H6" s="15"/>
      <c r="I6" s="21">
        <v>457.04</v>
      </c>
      <c r="J6" s="21">
        <f>+K6+I6</f>
        <v>4067.05</v>
      </c>
      <c r="K6" s="21">
        <v>3610.01</v>
      </c>
    </row>
    <row r="7" spans="1:11" x14ac:dyDescent="0.25">
      <c r="B7" s="12"/>
      <c r="C7" s="15"/>
      <c r="D7" s="15"/>
      <c r="E7" s="15"/>
      <c r="F7" s="15"/>
      <c r="G7" s="15"/>
      <c r="H7" s="15"/>
      <c r="I7" s="22">
        <f>SUM(I5:I6)</f>
        <v>689.31000000000006</v>
      </c>
      <c r="J7" s="22">
        <f>SUM(J5:J6)</f>
        <v>6141.2900000000009</v>
      </c>
      <c r="K7" s="22">
        <f>SUM(K5:K6)</f>
        <v>5451.9800000000005</v>
      </c>
    </row>
    <row r="8" spans="1:11" x14ac:dyDescent="0.25">
      <c r="B8" s="12"/>
      <c r="C8" s="15"/>
      <c r="D8" s="15"/>
      <c r="E8" s="15"/>
      <c r="F8" s="15"/>
      <c r="G8" s="15"/>
      <c r="H8" s="15"/>
      <c r="I8" s="21"/>
      <c r="J8" s="21"/>
      <c r="K8" s="21"/>
    </row>
    <row r="9" spans="1:11" x14ac:dyDescent="0.25">
      <c r="B9" s="12" t="s">
        <v>88</v>
      </c>
      <c r="C9" s="15">
        <v>84897224865</v>
      </c>
      <c r="D9" s="15" t="s">
        <v>66</v>
      </c>
      <c r="E9" s="15" t="s">
        <v>67</v>
      </c>
      <c r="F9" s="15" t="s">
        <v>68</v>
      </c>
      <c r="G9" s="15" t="s">
        <v>69</v>
      </c>
      <c r="H9" s="15">
        <v>151.94</v>
      </c>
      <c r="I9" s="21">
        <v>463.45</v>
      </c>
      <c r="J9" s="21">
        <f>+K9+I9</f>
        <v>1954.3700000000001</v>
      </c>
      <c r="K9" s="21">
        <v>1490.92</v>
      </c>
    </row>
    <row r="10" spans="1:11" x14ac:dyDescent="0.25">
      <c r="B10" s="12" t="s">
        <v>89</v>
      </c>
      <c r="C10" s="15"/>
      <c r="D10" s="15"/>
      <c r="E10" s="15"/>
      <c r="F10" s="15"/>
      <c r="G10" s="15"/>
      <c r="H10" s="15"/>
      <c r="I10" s="21">
        <v>463.45</v>
      </c>
      <c r="J10" s="21">
        <f>+K10+I10</f>
        <v>1954.3700000000001</v>
      </c>
      <c r="K10" s="21">
        <v>1490.92</v>
      </c>
    </row>
    <row r="11" spans="1:11" x14ac:dyDescent="0.25">
      <c r="B11" s="12"/>
      <c r="C11" s="15"/>
      <c r="D11" s="15"/>
      <c r="E11" s="15"/>
      <c r="F11" s="15"/>
      <c r="G11" s="15"/>
      <c r="H11" s="15"/>
      <c r="I11" s="22">
        <f>SUM(I9:I10)</f>
        <v>926.9</v>
      </c>
      <c r="J11" s="22">
        <f>SUM(J9:J10)</f>
        <v>3908.7400000000002</v>
      </c>
      <c r="K11" s="22">
        <f>SUM(K9:K10)</f>
        <v>2981.84</v>
      </c>
    </row>
    <row r="12" spans="1:11" x14ac:dyDescent="0.25">
      <c r="B12" s="12"/>
      <c r="C12" s="15"/>
      <c r="D12" s="15"/>
      <c r="E12" s="15"/>
      <c r="F12" s="15"/>
      <c r="G12" s="15"/>
      <c r="H12" s="15"/>
      <c r="I12" s="21"/>
      <c r="J12" s="21"/>
      <c r="K12" s="21"/>
    </row>
    <row r="13" spans="1:11" x14ac:dyDescent="0.25">
      <c r="B13" s="12" t="s">
        <v>88</v>
      </c>
      <c r="C13" s="15">
        <v>84048300093</v>
      </c>
      <c r="D13" s="15" t="s">
        <v>71</v>
      </c>
      <c r="E13" s="15" t="s">
        <v>72</v>
      </c>
      <c r="F13" s="15" t="s">
        <v>73</v>
      </c>
      <c r="G13" s="15" t="s">
        <v>74</v>
      </c>
      <c r="H13" s="15">
        <v>149.85</v>
      </c>
      <c r="I13" s="21">
        <v>232.27</v>
      </c>
      <c r="J13" s="21">
        <f>+K13+I13</f>
        <v>1582.34</v>
      </c>
      <c r="K13" s="21">
        <v>1350.07</v>
      </c>
    </row>
    <row r="14" spans="1:11" x14ac:dyDescent="0.25">
      <c r="B14" s="12" t="s">
        <v>89</v>
      </c>
      <c r="C14" s="15"/>
      <c r="D14" s="15"/>
      <c r="E14" s="15"/>
      <c r="F14" s="15"/>
      <c r="G14" s="15"/>
      <c r="H14" s="15"/>
      <c r="I14" s="21">
        <v>457.04</v>
      </c>
      <c r="J14" s="21">
        <f>+K14+I14</f>
        <v>3099.12</v>
      </c>
      <c r="K14" s="21">
        <v>2642.08</v>
      </c>
    </row>
    <row r="15" spans="1:11" x14ac:dyDescent="0.25">
      <c r="B15" s="12"/>
      <c r="C15" s="15"/>
      <c r="D15" s="15"/>
      <c r="E15" s="15"/>
      <c r="F15" s="15"/>
      <c r="G15" s="15"/>
      <c r="H15" s="15"/>
      <c r="I15" s="22">
        <f>SUM(I13:I14)</f>
        <v>689.31000000000006</v>
      </c>
      <c r="J15" s="22">
        <f>SUM(J13:J14)</f>
        <v>4681.46</v>
      </c>
      <c r="K15" s="22">
        <f>SUM(K13:K14)</f>
        <v>3992.1499999999996</v>
      </c>
    </row>
    <row r="16" spans="1:11" x14ac:dyDescent="0.25">
      <c r="B16" s="12"/>
      <c r="C16" s="15"/>
      <c r="D16" s="15"/>
      <c r="E16" s="15"/>
      <c r="F16" s="15"/>
      <c r="G16" s="15"/>
      <c r="H16" s="15"/>
      <c r="I16" s="21"/>
      <c r="J16" s="21"/>
      <c r="K16" s="21"/>
    </row>
    <row r="17" spans="2:11" x14ac:dyDescent="0.25">
      <c r="B17" s="12" t="s">
        <v>88</v>
      </c>
      <c r="C17" s="15">
        <v>11018330230</v>
      </c>
      <c r="D17" s="15" t="s">
        <v>76</v>
      </c>
      <c r="E17" s="15" t="s">
        <v>77</v>
      </c>
      <c r="F17" s="15" t="s">
        <v>78</v>
      </c>
      <c r="G17" s="15" t="s">
        <v>79</v>
      </c>
      <c r="H17" s="15">
        <v>149.85</v>
      </c>
      <c r="I17" s="21">
        <v>232.27</v>
      </c>
      <c r="J17" s="21">
        <f>+K17+I17</f>
        <v>1874.84</v>
      </c>
      <c r="K17" s="21">
        <v>1642.57</v>
      </c>
    </row>
    <row r="18" spans="2:11" x14ac:dyDescent="0.25">
      <c r="B18" s="12" t="s">
        <v>89</v>
      </c>
      <c r="I18" s="21">
        <v>457.04</v>
      </c>
      <c r="J18" s="21">
        <f>+K18+I18</f>
        <v>3674.67</v>
      </c>
      <c r="K18" s="21">
        <v>3217.63</v>
      </c>
    </row>
    <row r="19" spans="2:11" x14ac:dyDescent="0.25">
      <c r="I19" s="22">
        <f>SUM(I17:I18)</f>
        <v>689.31000000000006</v>
      </c>
      <c r="J19" s="22">
        <f>SUM(J17:J18)</f>
        <v>5549.51</v>
      </c>
      <c r="K19" s="22">
        <f>SUM(K17:K18)</f>
        <v>4860.2</v>
      </c>
    </row>
    <row r="21" spans="2:11" ht="30" x14ac:dyDescent="0.25">
      <c r="B21" s="26" t="s">
        <v>93</v>
      </c>
      <c r="C21" s="23"/>
      <c r="I21" s="24">
        <f>+I7+I11+I15+I19</f>
        <v>2994.83</v>
      </c>
      <c r="J21" s="24">
        <f>+J7+J11+J15+J19</f>
        <v>20281</v>
      </c>
      <c r="K21" s="24">
        <f>+K7+K11+K15+K19</f>
        <v>17286.169999999998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K65"/>
  <sheetViews>
    <sheetView topLeftCell="A43" workbookViewId="0">
      <selection activeCell="K50" sqref="K50"/>
    </sheetView>
  </sheetViews>
  <sheetFormatPr baseColWidth="10" defaultRowHeight="15" x14ac:dyDescent="0.25"/>
  <cols>
    <col min="2" max="2" width="18.85546875" customWidth="1"/>
    <col min="3" max="3" width="12" bestFit="1" customWidth="1"/>
    <col min="4" max="4" width="22.42578125" bestFit="1" customWidth="1"/>
    <col min="5" max="5" width="14.5703125" bestFit="1" customWidth="1"/>
    <col min="6" max="6" width="16.5703125" bestFit="1" customWidth="1"/>
    <col min="7" max="7" width="19" bestFit="1" customWidth="1"/>
    <col min="9" max="9" width="34.28515625" bestFit="1" customWidth="1"/>
    <col min="10" max="10" width="35" bestFit="1" customWidth="1"/>
    <col min="11" max="11" width="16.5703125" bestFit="1" customWidth="1"/>
  </cols>
  <sheetData>
    <row r="3" spans="1:11" x14ac:dyDescent="0.25">
      <c r="A3" s="27" t="s">
        <v>40</v>
      </c>
      <c r="B3" s="14" t="s">
        <v>87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83</v>
      </c>
      <c r="J3" s="14" t="s">
        <v>84</v>
      </c>
      <c r="K3" s="14" t="s">
        <v>85</v>
      </c>
    </row>
    <row r="4" spans="1:11" x14ac:dyDescent="0.25">
      <c r="B4" s="13"/>
      <c r="C4" s="15"/>
      <c r="D4" s="15"/>
      <c r="E4" s="15"/>
      <c r="F4" s="15"/>
      <c r="G4" s="15"/>
      <c r="H4" s="15"/>
    </row>
    <row r="5" spans="1:11" x14ac:dyDescent="0.25">
      <c r="A5" s="27">
        <v>2022</v>
      </c>
      <c r="B5" s="12" t="s">
        <v>100</v>
      </c>
      <c r="C5" s="15">
        <v>84947203638</v>
      </c>
      <c r="D5" s="15" t="s">
        <v>59</v>
      </c>
      <c r="E5" s="15" t="s">
        <v>60</v>
      </c>
      <c r="F5" s="15" t="s">
        <v>61</v>
      </c>
      <c r="G5" s="15" t="s">
        <v>62</v>
      </c>
      <c r="H5" s="15">
        <v>180.68</v>
      </c>
      <c r="I5" s="21">
        <v>533.01</v>
      </c>
      <c r="J5" s="21">
        <f>+K5+I5</f>
        <v>4322.33</v>
      </c>
      <c r="K5" s="21">
        <v>3789.32</v>
      </c>
    </row>
    <row r="6" spans="1:11" x14ac:dyDescent="0.25">
      <c r="B6" s="12" t="s">
        <v>86</v>
      </c>
      <c r="C6" s="15"/>
      <c r="D6" s="15"/>
      <c r="E6" s="15"/>
      <c r="F6" s="15"/>
      <c r="G6" s="15"/>
      <c r="H6" s="15"/>
      <c r="I6" s="21">
        <v>551.07000000000005</v>
      </c>
      <c r="J6" s="21">
        <f>+K6+I6</f>
        <v>4340.3900000000003</v>
      </c>
      <c r="K6" s="21">
        <v>3789.32</v>
      </c>
    </row>
    <row r="7" spans="1:11" x14ac:dyDescent="0.25">
      <c r="B7" s="12"/>
      <c r="C7" s="15"/>
      <c r="D7" s="15"/>
      <c r="E7" s="15"/>
      <c r="F7" s="15"/>
      <c r="G7" s="15"/>
      <c r="H7" s="15"/>
      <c r="I7" s="22">
        <f>SUM(I5:I6)</f>
        <v>1084.08</v>
      </c>
      <c r="J7" s="22">
        <f>SUM(J5:J6)</f>
        <v>8662.7200000000012</v>
      </c>
      <c r="K7" s="22">
        <f>SUM(K5:K6)</f>
        <v>7578.64</v>
      </c>
    </row>
    <row r="8" spans="1:11" x14ac:dyDescent="0.25">
      <c r="B8" s="12"/>
      <c r="C8" s="15"/>
      <c r="D8" s="15"/>
      <c r="E8" s="15"/>
      <c r="F8" s="15"/>
      <c r="G8" s="15"/>
      <c r="H8" s="15"/>
      <c r="I8" s="21"/>
      <c r="J8" s="21"/>
      <c r="K8" s="21"/>
    </row>
    <row r="9" spans="1:11" x14ac:dyDescent="0.25">
      <c r="B9" s="12" t="s">
        <v>100</v>
      </c>
      <c r="C9" s="15">
        <v>84897224865</v>
      </c>
      <c r="D9" s="15" t="s">
        <v>66</v>
      </c>
      <c r="E9" s="15" t="s">
        <v>67</v>
      </c>
      <c r="F9" s="15" t="s">
        <v>68</v>
      </c>
      <c r="G9" s="15" t="s">
        <v>69</v>
      </c>
      <c r="H9" s="15">
        <v>180.68</v>
      </c>
      <c r="I9" s="21">
        <v>533.01</v>
      </c>
      <c r="J9" s="21">
        <f>+K9+I9</f>
        <v>2023.93</v>
      </c>
      <c r="K9" s="21">
        <v>1490.92</v>
      </c>
    </row>
    <row r="10" spans="1:11" x14ac:dyDescent="0.25">
      <c r="B10" s="12" t="s">
        <v>86</v>
      </c>
      <c r="C10" s="15"/>
      <c r="D10" s="15"/>
      <c r="E10" s="15"/>
      <c r="F10" s="15"/>
      <c r="G10" s="15"/>
      <c r="H10" s="15"/>
      <c r="I10" s="21">
        <v>551.07000000000005</v>
      </c>
      <c r="J10" s="21">
        <f>+K10+I10</f>
        <v>2041.9900000000002</v>
      </c>
      <c r="K10" s="21">
        <v>1490.92</v>
      </c>
    </row>
    <row r="11" spans="1:11" x14ac:dyDescent="0.25">
      <c r="B11" s="12"/>
      <c r="C11" s="15"/>
      <c r="D11" s="15"/>
      <c r="E11" s="15"/>
      <c r="F11" s="15"/>
      <c r="G11" s="15"/>
      <c r="H11" s="15"/>
      <c r="I11" s="22">
        <f>SUM(I9:I10)</f>
        <v>1084.08</v>
      </c>
      <c r="J11" s="22">
        <f>SUM(J9:J10)</f>
        <v>4065.92</v>
      </c>
      <c r="K11" s="22">
        <f>SUM(K9:K10)</f>
        <v>2981.84</v>
      </c>
    </row>
    <row r="12" spans="1:11" x14ac:dyDescent="0.25">
      <c r="B12" s="12"/>
      <c r="C12" s="15"/>
      <c r="D12" s="15"/>
      <c r="E12" s="15"/>
      <c r="F12" s="15"/>
      <c r="G12" s="15"/>
      <c r="H12" s="15"/>
      <c r="I12" s="21"/>
      <c r="J12" s="21"/>
      <c r="K12" s="21"/>
    </row>
    <row r="13" spans="1:11" x14ac:dyDescent="0.25">
      <c r="B13" s="12" t="s">
        <v>100</v>
      </c>
      <c r="C13" s="15">
        <v>84048300093</v>
      </c>
      <c r="D13" s="15" t="s">
        <v>71</v>
      </c>
      <c r="E13" s="15" t="s">
        <v>72</v>
      </c>
      <c r="F13" s="15" t="s">
        <v>73</v>
      </c>
      <c r="G13" s="15" t="s">
        <v>74</v>
      </c>
      <c r="H13" s="15">
        <v>180.68</v>
      </c>
      <c r="I13" s="21">
        <v>533.01</v>
      </c>
      <c r="J13" s="21">
        <f>+K13+I13</f>
        <v>3175.09</v>
      </c>
      <c r="K13" s="21">
        <v>2642.08</v>
      </c>
    </row>
    <row r="14" spans="1:11" x14ac:dyDescent="0.25">
      <c r="B14" s="12" t="s">
        <v>86</v>
      </c>
      <c r="C14" s="15"/>
      <c r="D14" s="15"/>
      <c r="E14" s="15"/>
      <c r="F14" s="15"/>
      <c r="G14" s="15"/>
      <c r="H14" s="15"/>
      <c r="I14" s="21">
        <v>551.07000000000005</v>
      </c>
      <c r="J14" s="21">
        <f>+K14+I14</f>
        <v>3193.15</v>
      </c>
      <c r="K14" s="21">
        <v>2642.08</v>
      </c>
    </row>
    <row r="15" spans="1:11" x14ac:dyDescent="0.25">
      <c r="B15" s="12"/>
      <c r="C15" s="15"/>
      <c r="D15" s="15"/>
      <c r="E15" s="15"/>
      <c r="F15" s="15"/>
      <c r="G15" s="15"/>
      <c r="H15" s="15"/>
      <c r="I15" s="22">
        <f>SUM(I13:I14)</f>
        <v>1084.08</v>
      </c>
      <c r="J15" s="22">
        <f>SUM(J13:J14)</f>
        <v>6368.24</v>
      </c>
      <c r="K15" s="22">
        <f>SUM(K13:K14)</f>
        <v>5284.16</v>
      </c>
    </row>
    <row r="16" spans="1:11" x14ac:dyDescent="0.25">
      <c r="B16" s="12"/>
      <c r="C16" s="15"/>
      <c r="D16" s="15"/>
      <c r="E16" s="15"/>
      <c r="F16" s="15"/>
      <c r="G16" s="15"/>
      <c r="H16" s="15"/>
      <c r="I16" s="21"/>
      <c r="J16" s="21"/>
      <c r="K16" s="21"/>
    </row>
    <row r="17" spans="1:11" x14ac:dyDescent="0.25">
      <c r="B17" s="12" t="s">
        <v>100</v>
      </c>
      <c r="C17" s="15">
        <v>11018330230</v>
      </c>
      <c r="D17" s="15" t="s">
        <v>76</v>
      </c>
      <c r="E17" s="15" t="s">
        <v>77</v>
      </c>
      <c r="F17" s="15" t="s">
        <v>78</v>
      </c>
      <c r="G17" s="15" t="s">
        <v>79</v>
      </c>
      <c r="H17" s="15">
        <v>180.68</v>
      </c>
      <c r="I17" s="21">
        <v>533.01</v>
      </c>
      <c r="J17" s="21">
        <f>+K17+I17</f>
        <v>3910.3900000000003</v>
      </c>
      <c r="K17" s="21">
        <v>3377.38</v>
      </c>
    </row>
    <row r="18" spans="1:11" x14ac:dyDescent="0.25">
      <c r="B18" s="12" t="s">
        <v>86</v>
      </c>
      <c r="I18" s="21">
        <v>551.07000000000005</v>
      </c>
      <c r="J18" s="21">
        <f>+K18+I18</f>
        <v>3928.4500000000003</v>
      </c>
      <c r="K18" s="21">
        <v>3377.38</v>
      </c>
    </row>
    <row r="19" spans="1:11" x14ac:dyDescent="0.25">
      <c r="I19" s="22">
        <f>SUM(I17:I18)</f>
        <v>1084.08</v>
      </c>
      <c r="J19" s="22">
        <f>SUM(J17:J18)</f>
        <v>7838.84</v>
      </c>
      <c r="K19" s="22">
        <f>SUM(K17:K18)</f>
        <v>6754.76</v>
      </c>
    </row>
    <row r="21" spans="1:11" ht="30" x14ac:dyDescent="0.25">
      <c r="B21" s="26" t="s">
        <v>101</v>
      </c>
      <c r="C21" s="23"/>
      <c r="I21" s="24">
        <f>+I7+I11+I15+I19</f>
        <v>4336.32</v>
      </c>
      <c r="J21" s="24">
        <f>+J7+J11+J15+J19</f>
        <v>26935.72</v>
      </c>
      <c r="K21" s="24">
        <f>+K7+K11+K15+K19</f>
        <v>22599.4</v>
      </c>
    </row>
    <row r="25" spans="1:11" x14ac:dyDescent="0.25">
      <c r="A25" s="27" t="s">
        <v>40</v>
      </c>
      <c r="B25" s="14" t="s">
        <v>87</v>
      </c>
      <c r="C25" s="14" t="s">
        <v>51</v>
      </c>
      <c r="D25" s="14" t="s">
        <v>52</v>
      </c>
      <c r="E25" s="14" t="s">
        <v>53</v>
      </c>
      <c r="F25" s="14" t="s">
        <v>54</v>
      </c>
      <c r="G25" s="14" t="s">
        <v>55</v>
      </c>
      <c r="H25" s="14" t="s">
        <v>56</v>
      </c>
      <c r="I25" s="14" t="s">
        <v>83</v>
      </c>
      <c r="J25" s="14" t="s">
        <v>84</v>
      </c>
      <c r="K25" s="14" t="s">
        <v>85</v>
      </c>
    </row>
    <row r="26" spans="1:11" x14ac:dyDescent="0.25">
      <c r="B26" s="13"/>
      <c r="C26" s="15"/>
      <c r="D26" s="15"/>
      <c r="E26" s="15"/>
      <c r="F26" s="15"/>
      <c r="G26" s="15"/>
      <c r="H26" s="15"/>
    </row>
    <row r="27" spans="1:11" x14ac:dyDescent="0.25">
      <c r="A27" s="27">
        <v>2022</v>
      </c>
      <c r="B27" s="12" t="s">
        <v>102</v>
      </c>
      <c r="C27" s="15">
        <v>84947203638</v>
      </c>
      <c r="D27" s="15" t="s">
        <v>59</v>
      </c>
      <c r="E27" s="15" t="s">
        <v>60</v>
      </c>
      <c r="F27" s="15" t="s">
        <v>61</v>
      </c>
      <c r="G27" s="15" t="s">
        <v>62</v>
      </c>
      <c r="H27" s="15">
        <v>180.68</v>
      </c>
      <c r="I27" s="21">
        <v>551.07000000000005</v>
      </c>
      <c r="J27" s="21">
        <f>+K27+I27</f>
        <v>4340.3900000000003</v>
      </c>
      <c r="K27" s="21">
        <v>3789.32</v>
      </c>
    </row>
    <row r="28" spans="1:11" x14ac:dyDescent="0.25">
      <c r="B28" s="12" t="s">
        <v>103</v>
      </c>
      <c r="C28" s="15"/>
      <c r="D28" s="15"/>
      <c r="E28" s="15"/>
      <c r="F28" s="15"/>
      <c r="G28" s="15"/>
      <c r="H28" s="15"/>
      <c r="I28" s="21">
        <v>560.11</v>
      </c>
      <c r="J28" s="21">
        <f>+K28+I28</f>
        <v>4349.43</v>
      </c>
      <c r="K28" s="21">
        <v>3789.32</v>
      </c>
    </row>
    <row r="29" spans="1:11" x14ac:dyDescent="0.25">
      <c r="B29" s="12"/>
      <c r="C29" s="15"/>
      <c r="D29" s="15"/>
      <c r="E29" s="15"/>
      <c r="F29" s="15"/>
      <c r="G29" s="15"/>
      <c r="H29" s="15"/>
      <c r="I29" s="22">
        <f>SUM(I27:I28)</f>
        <v>1111.18</v>
      </c>
      <c r="J29" s="22">
        <f>SUM(J27:J28)</f>
        <v>8689.82</v>
      </c>
      <c r="K29" s="22">
        <f>SUM(K27:K28)</f>
        <v>7578.64</v>
      </c>
    </row>
    <row r="30" spans="1:11" x14ac:dyDescent="0.25">
      <c r="B30" s="12"/>
      <c r="C30" s="15"/>
      <c r="D30" s="15"/>
      <c r="E30" s="15"/>
      <c r="F30" s="15"/>
      <c r="G30" s="15"/>
      <c r="H30" s="15"/>
      <c r="I30" s="21"/>
      <c r="J30" s="21"/>
      <c r="K30" s="21"/>
    </row>
    <row r="31" spans="1:11" x14ac:dyDescent="0.25">
      <c r="B31" s="12" t="s">
        <v>102</v>
      </c>
      <c r="C31" s="15">
        <v>84897224865</v>
      </c>
      <c r="D31" s="15" t="s">
        <v>66</v>
      </c>
      <c r="E31" s="15" t="s">
        <v>67</v>
      </c>
      <c r="F31" s="15" t="s">
        <v>68</v>
      </c>
      <c r="G31" s="15" t="s">
        <v>69</v>
      </c>
      <c r="H31" s="15">
        <v>180.68</v>
      </c>
      <c r="I31" s="21">
        <v>551.07000000000005</v>
      </c>
      <c r="J31" s="21">
        <f>+K31+I31</f>
        <v>2041.9900000000002</v>
      </c>
      <c r="K31" s="21">
        <v>1490.92</v>
      </c>
    </row>
    <row r="32" spans="1:11" x14ac:dyDescent="0.25">
      <c r="B32" s="12" t="s">
        <v>103</v>
      </c>
      <c r="C32" s="15"/>
      <c r="D32" s="15"/>
      <c r="E32" s="15"/>
      <c r="F32" s="15"/>
      <c r="G32" s="15"/>
      <c r="H32" s="15"/>
      <c r="I32" s="21">
        <v>560.11</v>
      </c>
      <c r="J32" s="21">
        <f>+K32+I32</f>
        <v>2051.0300000000002</v>
      </c>
      <c r="K32" s="21">
        <v>1490.92</v>
      </c>
    </row>
    <row r="33" spans="1:11" x14ac:dyDescent="0.25">
      <c r="B33" s="12"/>
      <c r="C33" s="15"/>
      <c r="D33" s="15"/>
      <c r="E33" s="15"/>
      <c r="F33" s="15"/>
      <c r="G33" s="15"/>
      <c r="H33" s="15"/>
      <c r="I33" s="22">
        <f>SUM(I31:I32)</f>
        <v>1111.18</v>
      </c>
      <c r="J33" s="22">
        <f>SUM(J31:J32)</f>
        <v>4093.0200000000004</v>
      </c>
      <c r="K33" s="22">
        <f>SUM(K31:K32)</f>
        <v>2981.84</v>
      </c>
    </row>
    <row r="34" spans="1:11" x14ac:dyDescent="0.25">
      <c r="B34" s="12"/>
      <c r="C34" s="15"/>
      <c r="D34" s="15"/>
      <c r="E34" s="15"/>
      <c r="F34" s="15"/>
      <c r="G34" s="15"/>
      <c r="H34" s="15"/>
      <c r="I34" s="21"/>
      <c r="J34" s="21"/>
      <c r="K34" s="21"/>
    </row>
    <row r="35" spans="1:11" x14ac:dyDescent="0.25">
      <c r="B35" s="12" t="s">
        <v>102</v>
      </c>
      <c r="C35" s="15">
        <v>84048300093</v>
      </c>
      <c r="D35" s="15" t="s">
        <v>71</v>
      </c>
      <c r="E35" s="15" t="s">
        <v>72</v>
      </c>
      <c r="F35" s="15" t="s">
        <v>73</v>
      </c>
      <c r="G35" s="15" t="s">
        <v>74</v>
      </c>
      <c r="H35" s="15">
        <v>180.68</v>
      </c>
      <c r="I35" s="21">
        <v>551.07000000000005</v>
      </c>
      <c r="J35" s="21">
        <f>+K35+I35</f>
        <v>3195.55</v>
      </c>
      <c r="K35" s="21">
        <v>2644.48</v>
      </c>
    </row>
    <row r="36" spans="1:11" x14ac:dyDescent="0.25">
      <c r="B36" s="12" t="s">
        <v>103</v>
      </c>
      <c r="C36" s="15"/>
      <c r="D36" s="15"/>
      <c r="E36" s="15"/>
      <c r="F36" s="15"/>
      <c r="G36" s="15"/>
      <c r="H36" s="15"/>
      <c r="I36" s="21">
        <v>560.11</v>
      </c>
      <c r="J36" s="21">
        <f>+K36+I36</f>
        <v>3204.59</v>
      </c>
      <c r="K36" s="21">
        <v>2644.48</v>
      </c>
    </row>
    <row r="37" spans="1:11" x14ac:dyDescent="0.25">
      <c r="B37" s="12"/>
      <c r="C37" s="15"/>
      <c r="D37" s="15"/>
      <c r="E37" s="15"/>
      <c r="F37" s="15"/>
      <c r="G37" s="15"/>
      <c r="H37" s="15"/>
      <c r="I37" s="22">
        <f>SUM(I35:I36)</f>
        <v>1111.18</v>
      </c>
      <c r="J37" s="22">
        <f>SUM(J35:J36)</f>
        <v>6400.14</v>
      </c>
      <c r="K37" s="22">
        <f>SUM(K35:K36)</f>
        <v>5288.96</v>
      </c>
    </row>
    <row r="38" spans="1:11" x14ac:dyDescent="0.25">
      <c r="B38" s="12"/>
      <c r="C38" s="15"/>
      <c r="D38" s="15"/>
      <c r="E38" s="15"/>
      <c r="F38" s="15"/>
      <c r="G38" s="15"/>
      <c r="H38" s="15"/>
      <c r="I38" s="21"/>
      <c r="J38" s="21"/>
      <c r="K38" s="21"/>
    </row>
    <row r="39" spans="1:11" x14ac:dyDescent="0.25">
      <c r="B39" s="12" t="s">
        <v>102</v>
      </c>
      <c r="C39" s="15">
        <v>11018330230</v>
      </c>
      <c r="D39" s="15" t="s">
        <v>76</v>
      </c>
      <c r="E39" s="15" t="s">
        <v>77</v>
      </c>
      <c r="F39" s="15" t="s">
        <v>78</v>
      </c>
      <c r="G39" s="15" t="s">
        <v>79</v>
      </c>
      <c r="H39" s="15">
        <v>180.68</v>
      </c>
      <c r="I39" s="21">
        <v>551.07000000000005</v>
      </c>
      <c r="J39" s="21">
        <f>+K39+I39</f>
        <v>3928.4500000000003</v>
      </c>
      <c r="K39" s="21">
        <v>3377.38</v>
      </c>
    </row>
    <row r="40" spans="1:11" x14ac:dyDescent="0.25">
      <c r="B40" s="12" t="s">
        <v>103</v>
      </c>
      <c r="I40" s="21">
        <v>551.07000000000005</v>
      </c>
      <c r="J40" s="21">
        <f>+K40+I40</f>
        <v>3874.21</v>
      </c>
      <c r="K40" s="21">
        <v>3323.14</v>
      </c>
    </row>
    <row r="41" spans="1:11" x14ac:dyDescent="0.25">
      <c r="I41" s="22">
        <f>SUM(I39:I40)</f>
        <v>1102.1400000000001</v>
      </c>
      <c r="J41" s="22">
        <f>SUM(J39:J40)</f>
        <v>7802.66</v>
      </c>
      <c r="K41" s="22">
        <f>SUM(K39:K40)</f>
        <v>6700.52</v>
      </c>
    </row>
    <row r="43" spans="1:11" ht="30" x14ac:dyDescent="0.25">
      <c r="B43" s="26" t="s">
        <v>104</v>
      </c>
      <c r="C43" s="23"/>
      <c r="I43" s="24">
        <f>+I29+I33+I37+I41</f>
        <v>4435.68</v>
      </c>
      <c r="J43" s="24">
        <f>+J29+J33+J37+J41</f>
        <v>26985.64</v>
      </c>
      <c r="K43" s="24">
        <f>+K29+K33+K37+K41</f>
        <v>22549.96</v>
      </c>
    </row>
    <row r="47" spans="1:11" x14ac:dyDescent="0.25">
      <c r="A47" s="27" t="s">
        <v>40</v>
      </c>
      <c r="B47" s="14" t="s">
        <v>87</v>
      </c>
      <c r="C47" s="14" t="s">
        <v>51</v>
      </c>
      <c r="D47" s="14" t="s">
        <v>52</v>
      </c>
      <c r="E47" s="14" t="s">
        <v>53</v>
      </c>
      <c r="F47" s="14" t="s">
        <v>54</v>
      </c>
      <c r="G47" s="14" t="s">
        <v>55</v>
      </c>
      <c r="H47" s="14" t="s">
        <v>56</v>
      </c>
      <c r="I47" s="14" t="s">
        <v>83</v>
      </c>
      <c r="J47" s="14" t="s">
        <v>84</v>
      </c>
      <c r="K47" s="14" t="s">
        <v>85</v>
      </c>
    </row>
    <row r="48" spans="1:11" x14ac:dyDescent="0.25">
      <c r="B48" s="13"/>
      <c r="C48" s="15"/>
      <c r="D48" s="15"/>
      <c r="E48" s="15"/>
      <c r="F48" s="15"/>
      <c r="G48" s="15"/>
      <c r="H48" s="15"/>
    </row>
    <row r="49" spans="1:11" x14ac:dyDescent="0.25">
      <c r="A49" s="27">
        <v>2022</v>
      </c>
      <c r="B49" s="12" t="s">
        <v>88</v>
      </c>
      <c r="C49" s="15">
        <v>84947203638</v>
      </c>
      <c r="D49" s="15" t="s">
        <v>59</v>
      </c>
      <c r="E49" s="15" t="s">
        <v>60</v>
      </c>
      <c r="F49" s="15" t="s">
        <v>61</v>
      </c>
      <c r="G49" s="15" t="s">
        <v>62</v>
      </c>
      <c r="H49" s="15">
        <v>180.68</v>
      </c>
      <c r="I49" s="21">
        <v>551.07000000000005</v>
      </c>
      <c r="J49" s="21">
        <f>+K49+I49</f>
        <v>4340.3900000000003</v>
      </c>
      <c r="K49" s="21">
        <v>3789.32</v>
      </c>
    </row>
    <row r="50" spans="1:11" x14ac:dyDescent="0.25">
      <c r="B50" s="12" t="s">
        <v>89</v>
      </c>
      <c r="C50" s="15"/>
      <c r="D50" s="15"/>
      <c r="E50" s="15"/>
      <c r="F50" s="15"/>
      <c r="G50" s="15"/>
      <c r="H50" s="15"/>
      <c r="I50" s="21">
        <v>551.07000000000005</v>
      </c>
      <c r="J50" s="21">
        <f>+K50+I50</f>
        <v>4340.3900000000003</v>
      </c>
      <c r="K50" s="21">
        <v>3789.32</v>
      </c>
    </row>
    <row r="51" spans="1:11" x14ac:dyDescent="0.25">
      <c r="B51" s="12"/>
      <c r="C51" s="15"/>
      <c r="D51" s="15"/>
      <c r="E51" s="15"/>
      <c r="F51" s="15"/>
      <c r="G51" s="15"/>
      <c r="H51" s="15"/>
      <c r="I51" s="22">
        <f>SUM(I49:I50)</f>
        <v>1102.1400000000001</v>
      </c>
      <c r="J51" s="22">
        <f>SUM(J49:J50)</f>
        <v>8680.7800000000007</v>
      </c>
      <c r="K51" s="22">
        <f>SUM(K49:K50)</f>
        <v>7578.64</v>
      </c>
    </row>
    <row r="52" spans="1:11" x14ac:dyDescent="0.25">
      <c r="B52" s="12"/>
      <c r="C52" s="15"/>
      <c r="D52" s="15"/>
      <c r="E52" s="15"/>
      <c r="F52" s="15"/>
      <c r="G52" s="15"/>
      <c r="H52" s="15"/>
      <c r="I52" s="21"/>
      <c r="J52" s="21"/>
      <c r="K52" s="21"/>
    </row>
    <row r="53" spans="1:11" x14ac:dyDescent="0.25">
      <c r="B53" s="12" t="s">
        <v>88</v>
      </c>
      <c r="C53" s="15">
        <v>84897224865</v>
      </c>
      <c r="D53" s="15" t="s">
        <v>66</v>
      </c>
      <c r="E53" s="15" t="s">
        <v>67</v>
      </c>
      <c r="F53" s="15" t="s">
        <v>68</v>
      </c>
      <c r="G53" s="15" t="s">
        <v>69</v>
      </c>
      <c r="H53" s="15">
        <v>180.68</v>
      </c>
      <c r="I53" s="21">
        <v>551.07000000000005</v>
      </c>
      <c r="J53" s="21">
        <f>+K53+I53</f>
        <v>2041.9900000000002</v>
      </c>
      <c r="K53" s="21">
        <v>1490.92</v>
      </c>
    </row>
    <row r="54" spans="1:11" x14ac:dyDescent="0.25">
      <c r="B54" s="12" t="s">
        <v>89</v>
      </c>
      <c r="C54" s="15"/>
      <c r="D54" s="15"/>
      <c r="E54" s="15"/>
      <c r="F54" s="15"/>
      <c r="G54" s="15"/>
      <c r="H54" s="15"/>
      <c r="I54" s="21">
        <v>551.07000000000005</v>
      </c>
      <c r="J54" s="21">
        <f>+K54+I54</f>
        <v>2041.9900000000002</v>
      </c>
      <c r="K54" s="21">
        <v>1490.92</v>
      </c>
    </row>
    <row r="55" spans="1:11" x14ac:dyDescent="0.25">
      <c r="B55" s="12"/>
      <c r="C55" s="15"/>
      <c r="D55" s="15"/>
      <c r="E55" s="15"/>
      <c r="F55" s="15"/>
      <c r="G55" s="15"/>
      <c r="H55" s="15"/>
      <c r="I55" s="22">
        <f>SUM(I53:I54)</f>
        <v>1102.1400000000001</v>
      </c>
      <c r="J55" s="22">
        <f>SUM(J53:J54)</f>
        <v>4083.9800000000005</v>
      </c>
      <c r="K55" s="22">
        <f>SUM(K53:K54)</f>
        <v>2981.84</v>
      </c>
    </row>
    <row r="56" spans="1:11" x14ac:dyDescent="0.25">
      <c r="B56" s="12"/>
      <c r="C56" s="15"/>
      <c r="D56" s="15"/>
      <c r="E56" s="15"/>
      <c r="F56" s="15"/>
      <c r="G56" s="15"/>
      <c r="H56" s="15"/>
      <c r="I56" s="21"/>
      <c r="J56" s="21"/>
      <c r="K56" s="21"/>
    </row>
    <row r="57" spans="1:11" x14ac:dyDescent="0.25">
      <c r="B57" s="12" t="s">
        <v>88</v>
      </c>
      <c r="C57" s="15">
        <v>84048300093</v>
      </c>
      <c r="D57" s="15" t="s">
        <v>71</v>
      </c>
      <c r="E57" s="15" t="s">
        <v>72</v>
      </c>
      <c r="F57" s="15" t="s">
        <v>73</v>
      </c>
      <c r="G57" s="15" t="s">
        <v>74</v>
      </c>
      <c r="H57" s="15">
        <v>180.68</v>
      </c>
      <c r="I57" s="21">
        <v>551.07000000000005</v>
      </c>
      <c r="J57" s="21">
        <f>+K57+I57</f>
        <v>3195.55</v>
      </c>
      <c r="K57" s="21">
        <v>2644.48</v>
      </c>
    </row>
    <row r="58" spans="1:11" x14ac:dyDescent="0.25">
      <c r="B58" s="12" t="s">
        <v>89</v>
      </c>
      <c r="C58" s="15"/>
      <c r="D58" s="15"/>
      <c r="E58" s="15"/>
      <c r="F58" s="15"/>
      <c r="G58" s="15"/>
      <c r="H58" s="15"/>
      <c r="I58" s="21">
        <v>551.07000000000005</v>
      </c>
      <c r="J58" s="21">
        <f>+K58+I58</f>
        <v>3195.55</v>
      </c>
      <c r="K58" s="21">
        <v>2644.48</v>
      </c>
    </row>
    <row r="59" spans="1:11" x14ac:dyDescent="0.25">
      <c r="B59" s="12"/>
      <c r="C59" s="15"/>
      <c r="D59" s="15"/>
      <c r="E59" s="15"/>
      <c r="F59" s="15"/>
      <c r="G59" s="15"/>
      <c r="H59" s="15"/>
      <c r="I59" s="22">
        <f>SUM(I57:I58)</f>
        <v>1102.1400000000001</v>
      </c>
      <c r="J59" s="22">
        <f>SUM(J57:J58)</f>
        <v>6391.1</v>
      </c>
      <c r="K59" s="22">
        <f>SUM(K57:K58)</f>
        <v>5288.96</v>
      </c>
    </row>
    <row r="60" spans="1:11" x14ac:dyDescent="0.25">
      <c r="B60" s="12"/>
      <c r="C60" s="15"/>
      <c r="D60" s="15"/>
      <c r="E60" s="15"/>
      <c r="F60" s="15"/>
      <c r="G60" s="15"/>
      <c r="H60" s="15"/>
      <c r="I60" s="21"/>
      <c r="J60" s="21"/>
      <c r="K60" s="21"/>
    </row>
    <row r="61" spans="1:11" x14ac:dyDescent="0.25">
      <c r="B61" s="12" t="s">
        <v>88</v>
      </c>
      <c r="C61" s="15">
        <v>11018330230</v>
      </c>
      <c r="D61" s="15" t="s">
        <v>76</v>
      </c>
      <c r="E61" s="15" t="s">
        <v>77</v>
      </c>
      <c r="F61" s="15" t="s">
        <v>78</v>
      </c>
      <c r="G61" s="15" t="s">
        <v>79</v>
      </c>
      <c r="H61" s="15">
        <v>180.68</v>
      </c>
      <c r="I61" s="21">
        <v>551.07000000000005</v>
      </c>
      <c r="J61" s="21">
        <f>+K61+I61</f>
        <v>3928.4500000000003</v>
      </c>
      <c r="K61" s="21">
        <v>3377.38</v>
      </c>
    </row>
    <row r="62" spans="1:11" x14ac:dyDescent="0.25">
      <c r="B62" s="12" t="s">
        <v>89</v>
      </c>
      <c r="I62" s="21">
        <v>551.07000000000005</v>
      </c>
      <c r="J62" s="21">
        <f>+K62+I62</f>
        <v>3928.4500000000003</v>
      </c>
      <c r="K62" s="21">
        <v>3377.38</v>
      </c>
    </row>
    <row r="63" spans="1:11" x14ac:dyDescent="0.25">
      <c r="I63" s="22">
        <f>SUM(I61:I62)</f>
        <v>1102.1400000000001</v>
      </c>
      <c r="J63" s="22">
        <f>SUM(J61:J62)</f>
        <v>7856.9000000000005</v>
      </c>
      <c r="K63" s="22">
        <f>SUM(K61:K62)</f>
        <v>6754.76</v>
      </c>
    </row>
    <row r="65" spans="2:11" ht="30" x14ac:dyDescent="0.25">
      <c r="B65" s="26" t="s">
        <v>105</v>
      </c>
      <c r="C65" s="23"/>
      <c r="I65" s="24">
        <f>+I51+I55+I59+I63</f>
        <v>4408.5600000000004</v>
      </c>
      <c r="J65" s="24">
        <f>+J51+J55+J59+J63</f>
        <v>27012.760000000002</v>
      </c>
      <c r="K65" s="24">
        <f>+K51+K55+K59+K63</f>
        <v>22604.199999999997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M65"/>
  <sheetViews>
    <sheetView workbookViewId="0">
      <selection activeCell="K50" sqref="K50"/>
    </sheetView>
  </sheetViews>
  <sheetFormatPr baseColWidth="10" defaultRowHeight="15" x14ac:dyDescent="0.25"/>
  <cols>
    <col min="2" max="2" width="18.85546875" customWidth="1"/>
    <col min="3" max="3" width="12" bestFit="1" customWidth="1"/>
    <col min="4" max="4" width="22.42578125" bestFit="1" customWidth="1"/>
    <col min="5" max="5" width="14.5703125" bestFit="1" customWidth="1"/>
    <col min="6" max="6" width="16.5703125" bestFit="1" customWidth="1"/>
    <col min="7" max="7" width="19" bestFit="1" customWidth="1"/>
    <col min="9" max="9" width="34.28515625" bestFit="1" customWidth="1"/>
    <col min="10" max="10" width="35" bestFit="1" customWidth="1"/>
    <col min="11" max="11" width="16.5703125" bestFit="1" customWidth="1"/>
  </cols>
  <sheetData>
    <row r="3" spans="1:11" x14ac:dyDescent="0.25">
      <c r="A3" s="27" t="s">
        <v>40</v>
      </c>
      <c r="B3" s="14" t="s">
        <v>87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83</v>
      </c>
      <c r="J3" s="14" t="s">
        <v>84</v>
      </c>
      <c r="K3" s="14" t="s">
        <v>85</v>
      </c>
    </row>
    <row r="4" spans="1:11" x14ac:dyDescent="0.25">
      <c r="B4" s="13"/>
      <c r="C4" s="15"/>
      <c r="D4" s="15"/>
      <c r="E4" s="15"/>
      <c r="F4" s="15"/>
      <c r="G4" s="15"/>
      <c r="H4" s="15"/>
    </row>
    <row r="5" spans="1:11" x14ac:dyDescent="0.25">
      <c r="A5" s="27">
        <v>2023</v>
      </c>
      <c r="B5" s="12" t="s">
        <v>100</v>
      </c>
      <c r="C5" s="15">
        <v>84947203638</v>
      </c>
      <c r="D5" s="15" t="s">
        <v>59</v>
      </c>
      <c r="E5" s="15" t="s">
        <v>60</v>
      </c>
      <c r="F5" s="15" t="s">
        <v>61</v>
      </c>
      <c r="G5" s="15" t="s">
        <v>62</v>
      </c>
      <c r="H5" s="15">
        <v>149.85</v>
      </c>
      <c r="I5" s="21">
        <v>642.98</v>
      </c>
      <c r="J5" s="21">
        <f>+K5+I5</f>
        <v>4628.5200000000004</v>
      </c>
      <c r="K5" s="21">
        <v>3985.54</v>
      </c>
    </row>
    <row r="6" spans="1:11" x14ac:dyDescent="0.25">
      <c r="B6" s="12" t="s">
        <v>86</v>
      </c>
      <c r="C6" s="15"/>
      <c r="D6" s="15"/>
      <c r="E6" s="15"/>
      <c r="F6" s="15"/>
      <c r="G6" s="15"/>
      <c r="H6" s="15"/>
      <c r="I6" s="21">
        <v>664.78</v>
      </c>
      <c r="J6" s="21">
        <f>+K6+I6</f>
        <v>4650.32</v>
      </c>
      <c r="K6" s="21">
        <v>3985.54</v>
      </c>
    </row>
    <row r="7" spans="1:11" x14ac:dyDescent="0.25">
      <c r="B7" s="12"/>
      <c r="C7" s="15"/>
      <c r="D7" s="15"/>
      <c r="E7" s="15"/>
      <c r="F7" s="15"/>
      <c r="G7" s="15"/>
      <c r="H7" s="15"/>
      <c r="I7" s="22">
        <f>SUM(I5:I6)</f>
        <v>1307.76</v>
      </c>
      <c r="J7" s="22">
        <f>SUM(J5:J6)</f>
        <v>9278.84</v>
      </c>
      <c r="K7" s="22">
        <f>SUM(K5:K6)</f>
        <v>7971.08</v>
      </c>
    </row>
    <row r="8" spans="1:11" x14ac:dyDescent="0.25">
      <c r="B8" s="12"/>
      <c r="C8" s="15"/>
      <c r="D8" s="15"/>
      <c r="E8" s="15"/>
      <c r="F8" s="15"/>
      <c r="G8" s="15"/>
      <c r="H8" s="15"/>
      <c r="I8" s="21"/>
      <c r="J8" s="21"/>
      <c r="K8" s="21"/>
    </row>
    <row r="9" spans="1:11" x14ac:dyDescent="0.25">
      <c r="B9" s="12" t="s">
        <v>100</v>
      </c>
      <c r="C9" s="15">
        <v>84897224865</v>
      </c>
      <c r="D9" s="15" t="s">
        <v>66</v>
      </c>
      <c r="E9" s="15" t="s">
        <v>67</v>
      </c>
      <c r="F9" s="15" t="s">
        <v>68</v>
      </c>
      <c r="G9" s="15" t="s">
        <v>69</v>
      </c>
      <c r="H9" s="15">
        <v>151.94</v>
      </c>
      <c r="I9" s="21">
        <v>642.98</v>
      </c>
      <c r="J9" s="21">
        <f>+K9+I9</f>
        <v>2134.94</v>
      </c>
      <c r="K9" s="21">
        <v>1491.96</v>
      </c>
    </row>
    <row r="10" spans="1:11" x14ac:dyDescent="0.25">
      <c r="B10" s="12" t="s">
        <v>100</v>
      </c>
      <c r="C10" s="15"/>
      <c r="D10" s="15"/>
      <c r="E10" s="15"/>
      <c r="F10" s="15"/>
      <c r="G10" s="15"/>
      <c r="H10" s="15"/>
      <c r="I10" s="21">
        <v>664.78</v>
      </c>
      <c r="J10" s="21">
        <f>+K10+I10</f>
        <v>2156.7399999999998</v>
      </c>
      <c r="K10" s="21">
        <v>1491.96</v>
      </c>
    </row>
    <row r="11" spans="1:11" x14ac:dyDescent="0.25">
      <c r="B11" s="12" t="s">
        <v>86</v>
      </c>
      <c r="C11" s="15"/>
      <c r="D11" s="15"/>
      <c r="E11" s="15"/>
      <c r="F11" s="15"/>
      <c r="G11" s="15"/>
      <c r="H11" s="15"/>
      <c r="I11" s="22">
        <f>SUM(I9:I10)</f>
        <v>1307.76</v>
      </c>
      <c r="J11" s="22">
        <f>SUM(J9:J10)</f>
        <v>4291.68</v>
      </c>
      <c r="K11" s="22">
        <f>SUM(K9:K10)</f>
        <v>2983.92</v>
      </c>
    </row>
    <row r="12" spans="1:11" x14ac:dyDescent="0.25">
      <c r="B12" s="12"/>
      <c r="C12" s="15"/>
      <c r="D12" s="15"/>
      <c r="E12" s="15"/>
      <c r="F12" s="15"/>
      <c r="G12" s="15"/>
      <c r="H12" s="15"/>
      <c r="I12" s="21"/>
      <c r="J12" s="21"/>
      <c r="K12" s="21"/>
    </row>
    <row r="13" spans="1:11" x14ac:dyDescent="0.25">
      <c r="B13" s="12" t="s">
        <v>100</v>
      </c>
      <c r="C13" s="15">
        <v>84048300093</v>
      </c>
      <c r="D13" s="15" t="s">
        <v>71</v>
      </c>
      <c r="E13" s="15" t="s">
        <v>72</v>
      </c>
      <c r="F13" s="15" t="s">
        <v>73</v>
      </c>
      <c r="G13" s="15" t="s">
        <v>74</v>
      </c>
      <c r="H13" s="15">
        <v>149.85</v>
      </c>
      <c r="I13" s="21">
        <v>643.84</v>
      </c>
      <c r="J13" s="21">
        <f>+K13+I13</f>
        <v>3288.32</v>
      </c>
      <c r="K13" s="21">
        <v>2644.48</v>
      </c>
    </row>
    <row r="14" spans="1:11" x14ac:dyDescent="0.25">
      <c r="B14" s="12" t="s">
        <v>86</v>
      </c>
      <c r="C14" s="15"/>
      <c r="D14" s="15"/>
      <c r="E14" s="15"/>
      <c r="F14" s="15"/>
      <c r="G14" s="15"/>
      <c r="H14" s="15"/>
      <c r="I14" s="21">
        <v>665.66</v>
      </c>
      <c r="J14" s="21">
        <f>+K14+I14</f>
        <v>3310.14</v>
      </c>
      <c r="K14" s="21">
        <v>2644.48</v>
      </c>
    </row>
    <row r="15" spans="1:11" x14ac:dyDescent="0.25">
      <c r="B15" s="12"/>
      <c r="C15" s="15"/>
      <c r="D15" s="15"/>
      <c r="E15" s="15"/>
      <c r="F15" s="15"/>
      <c r="G15" s="15"/>
      <c r="H15" s="15"/>
      <c r="I15" s="22">
        <f>SUM(I13:I14)</f>
        <v>1309.5</v>
      </c>
      <c r="J15" s="22">
        <f>SUM(J13:J14)</f>
        <v>6598.46</v>
      </c>
      <c r="K15" s="22">
        <f>SUM(K13:K14)</f>
        <v>5288.96</v>
      </c>
    </row>
    <row r="16" spans="1:11" x14ac:dyDescent="0.25">
      <c r="B16" s="12"/>
      <c r="C16" s="15"/>
      <c r="D16" s="15"/>
      <c r="E16" s="15"/>
      <c r="F16" s="15"/>
      <c r="G16" s="15"/>
      <c r="H16" s="15"/>
      <c r="I16" s="21"/>
      <c r="J16" s="21"/>
      <c r="K16" s="21"/>
    </row>
    <row r="17" spans="1:11" x14ac:dyDescent="0.25">
      <c r="B17" s="12" t="s">
        <v>100</v>
      </c>
      <c r="C17" s="15">
        <v>11018330230</v>
      </c>
      <c r="D17" s="15" t="s">
        <v>76</v>
      </c>
      <c r="E17" s="15" t="s">
        <v>77</v>
      </c>
      <c r="F17" s="15" t="s">
        <v>78</v>
      </c>
      <c r="G17" s="15" t="s">
        <v>79</v>
      </c>
      <c r="H17" s="15">
        <v>149.85</v>
      </c>
      <c r="I17" s="21">
        <v>642.98</v>
      </c>
      <c r="J17" s="21">
        <f>+K17+I17</f>
        <v>4195.16</v>
      </c>
      <c r="K17" s="21">
        <v>3552.18</v>
      </c>
    </row>
    <row r="18" spans="1:11" x14ac:dyDescent="0.25">
      <c r="B18" s="12" t="s">
        <v>86</v>
      </c>
      <c r="I18" s="21">
        <v>664.78</v>
      </c>
      <c r="J18" s="21">
        <f>+K18+I18</f>
        <v>4216.96</v>
      </c>
      <c r="K18" s="21">
        <v>3552.18</v>
      </c>
    </row>
    <row r="19" spans="1:11" x14ac:dyDescent="0.25">
      <c r="I19" s="22">
        <f>SUM(I17:I18)</f>
        <v>1307.76</v>
      </c>
      <c r="J19" s="22">
        <f>SUM(J17:J18)</f>
        <v>8412.119999999999</v>
      </c>
      <c r="K19" s="22">
        <f>SUM(K17:K18)</f>
        <v>7104.36</v>
      </c>
    </row>
    <row r="21" spans="1:11" ht="30" x14ac:dyDescent="0.25">
      <c r="B21" s="26" t="s">
        <v>101</v>
      </c>
      <c r="C21" s="23"/>
      <c r="I21" s="24">
        <f>+I7+I11+I15+I19</f>
        <v>5232.78</v>
      </c>
      <c r="J21" s="24">
        <f>+J7+J11+J15+J19</f>
        <v>28581.1</v>
      </c>
      <c r="K21" s="24">
        <f>+K7+K11+K15+K19</f>
        <v>23348.32</v>
      </c>
    </row>
    <row r="25" spans="1:11" x14ac:dyDescent="0.25">
      <c r="A25" s="27" t="s">
        <v>40</v>
      </c>
      <c r="B25" s="14" t="s">
        <v>87</v>
      </c>
      <c r="C25" s="14" t="s">
        <v>51</v>
      </c>
      <c r="D25" s="14" t="s">
        <v>52</v>
      </c>
      <c r="E25" s="14" t="s">
        <v>53</v>
      </c>
      <c r="F25" s="14" t="s">
        <v>54</v>
      </c>
      <c r="G25" s="14" t="s">
        <v>55</v>
      </c>
      <c r="H25" s="14" t="s">
        <v>56</v>
      </c>
      <c r="I25" s="14" t="s">
        <v>83</v>
      </c>
      <c r="J25" s="14" t="s">
        <v>84</v>
      </c>
      <c r="K25" s="14" t="s">
        <v>85</v>
      </c>
    </row>
    <row r="26" spans="1:11" x14ac:dyDescent="0.25">
      <c r="B26" s="13"/>
      <c r="C26" s="15"/>
      <c r="D26" s="15"/>
      <c r="E26" s="15"/>
      <c r="F26" s="15"/>
      <c r="G26" s="15"/>
      <c r="H26" s="15"/>
    </row>
    <row r="27" spans="1:11" x14ac:dyDescent="0.25">
      <c r="A27" s="27">
        <v>2023</v>
      </c>
      <c r="B27" s="12" t="s">
        <v>102</v>
      </c>
      <c r="C27" s="15">
        <v>84947203638</v>
      </c>
      <c r="D27" s="15" t="s">
        <v>59</v>
      </c>
      <c r="E27" s="15" t="s">
        <v>60</v>
      </c>
      <c r="F27" s="15" t="s">
        <v>61</v>
      </c>
      <c r="G27" s="15" t="s">
        <v>62</v>
      </c>
      <c r="H27" s="15">
        <v>149.85</v>
      </c>
      <c r="I27" s="21">
        <v>664.78</v>
      </c>
      <c r="J27" s="21">
        <f>+K27+I27</f>
        <v>4650.32</v>
      </c>
      <c r="K27" s="21">
        <v>3985.54</v>
      </c>
    </row>
    <row r="28" spans="1:11" x14ac:dyDescent="0.25">
      <c r="B28" s="12" t="s">
        <v>103</v>
      </c>
      <c r="C28" s="15"/>
      <c r="D28" s="15"/>
      <c r="E28" s="15"/>
      <c r="F28" s="15"/>
      <c r="G28" s="15"/>
      <c r="H28" s="15"/>
      <c r="I28" s="21">
        <v>675.68</v>
      </c>
      <c r="J28" s="21">
        <f>+K28+I28</f>
        <v>4661.22</v>
      </c>
      <c r="K28" s="21">
        <v>3985.54</v>
      </c>
    </row>
    <row r="29" spans="1:11" x14ac:dyDescent="0.25">
      <c r="B29" s="12"/>
      <c r="C29" s="15"/>
      <c r="D29" s="15"/>
      <c r="E29" s="15"/>
      <c r="F29" s="15"/>
      <c r="G29" s="15"/>
      <c r="H29" s="15"/>
      <c r="I29" s="22">
        <f>SUM(I27:I28)</f>
        <v>1340.46</v>
      </c>
      <c r="J29" s="22">
        <f>SUM(J27:J28)</f>
        <v>9311.5400000000009</v>
      </c>
      <c r="K29" s="22">
        <f>SUM(K27:K28)</f>
        <v>7971.08</v>
      </c>
    </row>
    <row r="30" spans="1:11" x14ac:dyDescent="0.25">
      <c r="B30" s="12"/>
      <c r="C30" s="15"/>
      <c r="D30" s="15"/>
      <c r="E30" s="15"/>
      <c r="F30" s="15"/>
      <c r="G30" s="15"/>
      <c r="H30" s="15"/>
      <c r="I30" s="21"/>
      <c r="J30" s="21"/>
      <c r="K30" s="21"/>
    </row>
    <row r="31" spans="1:11" x14ac:dyDescent="0.25">
      <c r="B31" s="12" t="s">
        <v>102</v>
      </c>
      <c r="C31" s="15">
        <v>84897224865</v>
      </c>
      <c r="D31" s="15" t="s">
        <v>66</v>
      </c>
      <c r="E31" s="15" t="s">
        <v>67</v>
      </c>
      <c r="F31" s="15" t="s">
        <v>68</v>
      </c>
      <c r="G31" s="15" t="s">
        <v>69</v>
      </c>
      <c r="H31" s="15">
        <v>151.94</v>
      </c>
      <c r="I31" s="21">
        <v>664.78</v>
      </c>
      <c r="J31" s="21">
        <f>+K31+I31</f>
        <v>2156.71</v>
      </c>
      <c r="K31" s="21">
        <v>1491.93</v>
      </c>
    </row>
    <row r="32" spans="1:11" x14ac:dyDescent="0.25">
      <c r="B32" s="12" t="s">
        <v>103</v>
      </c>
      <c r="C32" s="15"/>
      <c r="D32" s="15"/>
      <c r="E32" s="15"/>
      <c r="F32" s="15"/>
      <c r="G32" s="15"/>
      <c r="H32" s="15"/>
      <c r="I32" s="21">
        <v>675.68</v>
      </c>
      <c r="J32" s="21">
        <f>+K32+I32</f>
        <v>2167.64</v>
      </c>
      <c r="K32" s="21">
        <v>1491.96</v>
      </c>
    </row>
    <row r="33" spans="1:13" x14ac:dyDescent="0.25">
      <c r="B33" s="12"/>
      <c r="C33" s="15"/>
      <c r="D33" s="15"/>
      <c r="E33" s="15"/>
      <c r="F33" s="15"/>
      <c r="G33" s="15"/>
      <c r="H33" s="15"/>
      <c r="I33" s="22">
        <f>SUM(I31:I32)</f>
        <v>1340.46</v>
      </c>
      <c r="J33" s="22">
        <f>SUM(J31:J32)</f>
        <v>4324.3500000000004</v>
      </c>
      <c r="K33" s="22">
        <f>SUM(K31:K32)</f>
        <v>2983.8900000000003</v>
      </c>
    </row>
    <row r="34" spans="1:13" x14ac:dyDescent="0.25">
      <c r="B34" s="12"/>
      <c r="C34" s="15"/>
      <c r="D34" s="15"/>
      <c r="E34" s="15"/>
      <c r="F34" s="15"/>
      <c r="G34" s="15"/>
      <c r="H34" s="15"/>
      <c r="I34" s="21"/>
      <c r="J34" s="21"/>
      <c r="K34" s="21"/>
    </row>
    <row r="35" spans="1:13" x14ac:dyDescent="0.25">
      <c r="B35" s="12" t="s">
        <v>102</v>
      </c>
      <c r="C35" s="15">
        <v>84048300093</v>
      </c>
      <c r="D35" s="15" t="s">
        <v>71</v>
      </c>
      <c r="E35" s="15" t="s">
        <v>72</v>
      </c>
      <c r="F35" s="15" t="s">
        <v>73</v>
      </c>
      <c r="G35" s="15" t="s">
        <v>74</v>
      </c>
      <c r="H35" s="15">
        <v>149.85</v>
      </c>
      <c r="I35" s="21">
        <v>665.66</v>
      </c>
      <c r="J35" s="21">
        <f>+K35+I35</f>
        <v>3312.6299999999997</v>
      </c>
      <c r="K35" s="21">
        <v>2646.97</v>
      </c>
    </row>
    <row r="36" spans="1:13" x14ac:dyDescent="0.25">
      <c r="B36" s="12" t="s">
        <v>103</v>
      </c>
      <c r="C36" s="15"/>
      <c r="D36" s="15"/>
      <c r="E36" s="15"/>
      <c r="F36" s="15"/>
      <c r="G36" s="15"/>
      <c r="H36" s="15"/>
      <c r="I36" s="21">
        <v>676.58</v>
      </c>
      <c r="J36" s="21">
        <f>+K36+I36</f>
        <v>3323.56</v>
      </c>
      <c r="K36" s="21">
        <v>2646.98</v>
      </c>
    </row>
    <row r="37" spans="1:13" x14ac:dyDescent="0.25">
      <c r="B37" s="12"/>
      <c r="C37" s="15"/>
      <c r="D37" s="15"/>
      <c r="E37" s="15"/>
      <c r="F37" s="15"/>
      <c r="G37" s="15"/>
      <c r="H37" s="15"/>
      <c r="I37" s="22">
        <f>SUM(I35:I36)</f>
        <v>1342.24</v>
      </c>
      <c r="J37" s="22">
        <f>SUM(J35:J36)</f>
        <v>6636.19</v>
      </c>
      <c r="K37" s="22">
        <f>SUM(K35:K36)</f>
        <v>5293.95</v>
      </c>
    </row>
    <row r="38" spans="1:13" x14ac:dyDescent="0.25">
      <c r="B38" s="12"/>
      <c r="C38" s="15"/>
      <c r="D38" s="15"/>
      <c r="E38" s="15"/>
      <c r="F38" s="15"/>
      <c r="G38" s="15"/>
      <c r="H38" s="15"/>
      <c r="I38" s="21"/>
      <c r="J38" s="21"/>
      <c r="K38" s="21"/>
    </row>
    <row r="39" spans="1:13" x14ac:dyDescent="0.25">
      <c r="B39" s="12" t="s">
        <v>102</v>
      </c>
      <c r="C39" s="15">
        <v>11018330230</v>
      </c>
      <c r="D39" s="15" t="s">
        <v>76</v>
      </c>
      <c r="E39" s="15" t="s">
        <v>77</v>
      </c>
      <c r="F39" s="15" t="s">
        <v>78</v>
      </c>
      <c r="G39" s="15" t="s">
        <v>79</v>
      </c>
      <c r="H39" s="15">
        <v>149.85</v>
      </c>
      <c r="I39" s="21">
        <v>664.78</v>
      </c>
      <c r="J39" s="21">
        <f>+K39+I39</f>
        <v>4216.96</v>
      </c>
      <c r="K39" s="21">
        <v>3552.18</v>
      </c>
    </row>
    <row r="40" spans="1:13" x14ac:dyDescent="0.25">
      <c r="B40" s="12" t="s">
        <v>103</v>
      </c>
      <c r="I40" s="21">
        <v>675.68</v>
      </c>
      <c r="J40" s="21">
        <f>+K40+I40</f>
        <v>4227.8599999999997</v>
      </c>
      <c r="K40" s="21">
        <v>3552.18</v>
      </c>
    </row>
    <row r="41" spans="1:13" x14ac:dyDescent="0.25">
      <c r="I41" s="22">
        <f>SUM(I39:I40)</f>
        <v>1340.46</v>
      </c>
      <c r="J41" s="22">
        <f>SUM(J39:J40)</f>
        <v>8444.82</v>
      </c>
      <c r="K41" s="22">
        <f>SUM(K39:K40)</f>
        <v>7104.36</v>
      </c>
    </row>
    <row r="43" spans="1:13" ht="30" x14ac:dyDescent="0.25">
      <c r="B43" s="26" t="s">
        <v>104</v>
      </c>
      <c r="C43" s="23"/>
      <c r="I43" s="24">
        <f>+I29+I33+I37+I41</f>
        <v>5363.62</v>
      </c>
      <c r="J43" s="24">
        <f>+J29+J33+J37+J41</f>
        <v>28716.9</v>
      </c>
      <c r="K43" s="24">
        <f>+K29+K33+K37+K41</f>
        <v>23353.280000000002</v>
      </c>
      <c r="M43" t="s">
        <v>106</v>
      </c>
    </row>
    <row r="47" spans="1:13" x14ac:dyDescent="0.25">
      <c r="A47" s="27" t="s">
        <v>40</v>
      </c>
      <c r="B47" s="14" t="s">
        <v>87</v>
      </c>
      <c r="C47" s="14" t="s">
        <v>51</v>
      </c>
      <c r="D47" s="14" t="s">
        <v>52</v>
      </c>
      <c r="E47" s="14" t="s">
        <v>53</v>
      </c>
      <c r="F47" s="14" t="s">
        <v>54</v>
      </c>
      <c r="G47" s="14" t="s">
        <v>55</v>
      </c>
      <c r="H47" s="14" t="s">
        <v>56</v>
      </c>
      <c r="I47" s="14" t="s">
        <v>83</v>
      </c>
      <c r="J47" s="14" t="s">
        <v>84</v>
      </c>
      <c r="K47" s="14" t="s">
        <v>85</v>
      </c>
    </row>
    <row r="48" spans="1:13" x14ac:dyDescent="0.25">
      <c r="B48" s="13"/>
      <c r="C48" s="15"/>
      <c r="D48" s="15"/>
      <c r="E48" s="15"/>
      <c r="F48" s="15"/>
      <c r="G48" s="15"/>
      <c r="H48" s="15"/>
    </row>
    <row r="49" spans="1:12" x14ac:dyDescent="0.25">
      <c r="A49" s="27">
        <v>2023</v>
      </c>
      <c r="B49" s="12" t="s">
        <v>88</v>
      </c>
      <c r="C49" s="15">
        <v>84947203638</v>
      </c>
      <c r="D49" s="15" t="s">
        <v>59</v>
      </c>
      <c r="E49" s="15" t="s">
        <v>60</v>
      </c>
      <c r="F49" s="15" t="s">
        <v>61</v>
      </c>
      <c r="G49" s="15" t="s">
        <v>62</v>
      </c>
      <c r="H49" s="15">
        <v>149.58000000000001</v>
      </c>
      <c r="I49" s="21">
        <v>664.78</v>
      </c>
      <c r="J49" s="21">
        <f>+K49+I49</f>
        <v>4650.32</v>
      </c>
      <c r="K49" s="21">
        <v>3985.54</v>
      </c>
      <c r="L49" s="30"/>
    </row>
    <row r="50" spans="1:12" x14ac:dyDescent="0.25">
      <c r="B50" s="12" t="s">
        <v>89</v>
      </c>
      <c r="C50" s="15"/>
      <c r="D50" s="15"/>
      <c r="E50" s="15"/>
      <c r="F50" s="15"/>
      <c r="G50" s="15"/>
      <c r="H50" s="15"/>
      <c r="I50" s="21">
        <v>664.78</v>
      </c>
      <c r="J50" s="21">
        <f>+K50+I50</f>
        <v>4650.32</v>
      </c>
      <c r="K50" s="21">
        <v>3985.54</v>
      </c>
      <c r="L50" s="30"/>
    </row>
    <row r="51" spans="1:12" x14ac:dyDescent="0.25">
      <c r="B51" s="12"/>
      <c r="C51" s="15"/>
      <c r="D51" s="15"/>
      <c r="E51" s="15"/>
      <c r="F51" s="15"/>
      <c r="G51" s="15"/>
      <c r="H51" s="15"/>
      <c r="I51" s="22">
        <f>SUM(I49:I50)</f>
        <v>1329.56</v>
      </c>
      <c r="J51" s="22">
        <f>SUM(J49:J50)</f>
        <v>9300.64</v>
      </c>
      <c r="K51" s="22">
        <f>SUM(K49:K50)</f>
        <v>7971.08</v>
      </c>
    </row>
    <row r="52" spans="1:12" x14ac:dyDescent="0.25">
      <c r="B52" s="12"/>
      <c r="C52" s="15"/>
      <c r="D52" s="15"/>
      <c r="E52" s="15"/>
      <c r="F52" s="15"/>
      <c r="G52" s="15"/>
      <c r="H52" s="15"/>
      <c r="I52" s="21"/>
      <c r="J52" s="21"/>
      <c r="K52" s="21"/>
    </row>
    <row r="53" spans="1:12" x14ac:dyDescent="0.25">
      <c r="B53" s="12" t="s">
        <v>88</v>
      </c>
      <c r="C53" s="15">
        <v>84897224865</v>
      </c>
      <c r="D53" s="15" t="s">
        <v>66</v>
      </c>
      <c r="E53" s="15" t="s">
        <v>67</v>
      </c>
      <c r="F53" s="15" t="s">
        <v>68</v>
      </c>
      <c r="G53" s="15" t="s">
        <v>69</v>
      </c>
      <c r="H53" s="15">
        <v>149.58000000000001</v>
      </c>
      <c r="I53" s="21">
        <v>664.78</v>
      </c>
      <c r="J53" s="21">
        <f>+K53+I53</f>
        <v>2156.7399999999998</v>
      </c>
      <c r="K53" s="21">
        <v>1491.96</v>
      </c>
      <c r="L53" s="30"/>
    </row>
    <row r="54" spans="1:12" x14ac:dyDescent="0.25">
      <c r="B54" s="12" t="s">
        <v>89</v>
      </c>
      <c r="C54" s="15"/>
      <c r="D54" s="15"/>
      <c r="E54" s="15"/>
      <c r="F54" s="15"/>
      <c r="G54" s="15"/>
      <c r="H54" s="15"/>
      <c r="I54" s="21">
        <v>664.78</v>
      </c>
      <c r="J54" s="21">
        <f>+K54+I54</f>
        <v>2156.7399999999998</v>
      </c>
      <c r="K54" s="21">
        <v>1491.96</v>
      </c>
      <c r="L54" s="30"/>
    </row>
    <row r="55" spans="1:12" x14ac:dyDescent="0.25">
      <c r="B55" s="12"/>
      <c r="C55" s="15"/>
      <c r="D55" s="15"/>
      <c r="E55" s="15"/>
      <c r="F55" s="15"/>
      <c r="G55" s="15"/>
      <c r="H55" s="15"/>
      <c r="I55" s="22">
        <f>SUM(I53:I54)</f>
        <v>1329.56</v>
      </c>
      <c r="J55" s="22">
        <f>SUM(J53:J54)</f>
        <v>4313.4799999999996</v>
      </c>
      <c r="K55" s="22">
        <f>SUM(K53:K54)</f>
        <v>2983.92</v>
      </c>
    </row>
    <row r="56" spans="1:12" x14ac:dyDescent="0.25">
      <c r="B56" s="12"/>
      <c r="C56" s="15"/>
      <c r="D56" s="15"/>
      <c r="E56" s="15"/>
      <c r="F56" s="15"/>
      <c r="G56" s="15"/>
      <c r="H56" s="15"/>
      <c r="I56" s="21"/>
      <c r="J56" s="21"/>
      <c r="K56" s="21"/>
    </row>
    <row r="57" spans="1:12" x14ac:dyDescent="0.25">
      <c r="B57" s="12" t="s">
        <v>88</v>
      </c>
      <c r="C57" s="15">
        <v>84048300093</v>
      </c>
      <c r="D57" s="15" t="s">
        <v>71</v>
      </c>
      <c r="E57" s="15" t="s">
        <v>72</v>
      </c>
      <c r="F57" s="15" t="s">
        <v>73</v>
      </c>
      <c r="G57" s="15" t="s">
        <v>74</v>
      </c>
      <c r="H57" s="15">
        <v>149.77000000000001</v>
      </c>
      <c r="I57" s="21">
        <v>665.66</v>
      </c>
      <c r="J57" s="21">
        <f>+K57+I57</f>
        <v>3312.64</v>
      </c>
      <c r="K57" s="21">
        <v>2646.98</v>
      </c>
      <c r="L57" s="30"/>
    </row>
    <row r="58" spans="1:12" x14ac:dyDescent="0.25">
      <c r="B58" s="12" t="s">
        <v>89</v>
      </c>
      <c r="C58" s="15"/>
      <c r="D58" s="15"/>
      <c r="E58" s="15"/>
      <c r="F58" s="15"/>
      <c r="G58" s="15"/>
      <c r="H58" s="15"/>
      <c r="I58" s="21">
        <v>665.66</v>
      </c>
      <c r="J58" s="21">
        <f>+K58+I58</f>
        <v>3312.64</v>
      </c>
      <c r="K58" s="21">
        <v>2646.98</v>
      </c>
      <c r="L58" s="30"/>
    </row>
    <row r="59" spans="1:12" x14ac:dyDescent="0.25">
      <c r="B59" s="12"/>
      <c r="C59" s="15"/>
      <c r="D59" s="15"/>
      <c r="E59" s="15"/>
      <c r="F59" s="15"/>
      <c r="G59" s="15"/>
      <c r="H59" s="15"/>
      <c r="I59" s="22">
        <f>SUM(I57:I58)</f>
        <v>1331.32</v>
      </c>
      <c r="J59" s="22">
        <f>SUM(J57:J58)</f>
        <v>6625.28</v>
      </c>
      <c r="K59" s="22">
        <f>SUM(K57:K58)</f>
        <v>5293.96</v>
      </c>
    </row>
    <row r="60" spans="1:12" x14ac:dyDescent="0.25">
      <c r="B60" s="12"/>
      <c r="C60" s="15"/>
      <c r="D60" s="15"/>
      <c r="E60" s="15"/>
      <c r="F60" s="15"/>
      <c r="G60" s="15"/>
      <c r="H60" s="15"/>
      <c r="I60" s="21"/>
      <c r="J60" s="21"/>
      <c r="K60" s="21"/>
    </row>
    <row r="61" spans="1:12" x14ac:dyDescent="0.25">
      <c r="B61" s="12" t="s">
        <v>88</v>
      </c>
      <c r="C61" s="15">
        <v>11018330230</v>
      </c>
      <c r="D61" s="15" t="s">
        <v>76</v>
      </c>
      <c r="E61" s="15" t="s">
        <v>77</v>
      </c>
      <c r="F61" s="15" t="s">
        <v>78</v>
      </c>
      <c r="G61" s="15" t="s">
        <v>79</v>
      </c>
      <c r="H61" s="15">
        <v>149.58000000000001</v>
      </c>
      <c r="I61" s="21">
        <v>664.78</v>
      </c>
      <c r="J61" s="21">
        <f>+K61+I61</f>
        <v>4216.96</v>
      </c>
      <c r="K61" s="21">
        <v>3552.18</v>
      </c>
      <c r="L61" s="30"/>
    </row>
    <row r="62" spans="1:12" x14ac:dyDescent="0.25">
      <c r="B62" s="12" t="s">
        <v>89</v>
      </c>
      <c r="I62" s="21">
        <v>664.78</v>
      </c>
      <c r="J62" s="21">
        <f>+K62+I62</f>
        <v>4216.96</v>
      </c>
      <c r="K62" s="21">
        <v>3552.18</v>
      </c>
      <c r="L62" s="30"/>
    </row>
    <row r="63" spans="1:12" x14ac:dyDescent="0.25">
      <c r="I63" s="22">
        <f>SUM(I61:I62)</f>
        <v>1329.56</v>
      </c>
      <c r="J63" s="22">
        <f>SUM(J61:J62)</f>
        <v>8433.92</v>
      </c>
      <c r="K63" s="22">
        <f>SUM(K61:K62)</f>
        <v>7104.36</v>
      </c>
    </row>
    <row r="65" spans="2:11" ht="30" x14ac:dyDescent="0.25">
      <c r="B65" s="26" t="s">
        <v>93</v>
      </c>
      <c r="C65" s="23"/>
      <c r="I65" s="24">
        <f>+I51+I55+I59+I63</f>
        <v>5320</v>
      </c>
      <c r="J65" s="24">
        <f>+J51+J55+J59+J63</f>
        <v>28673.32</v>
      </c>
      <c r="K65" s="24">
        <f>+K51+K55+K59+K63</f>
        <v>23353.32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0F6E-FA92-4E5D-BFEC-7678A707C4B3}">
  <dimension ref="A3:N65"/>
  <sheetViews>
    <sheetView topLeftCell="G46" zoomScaleNormal="100" workbookViewId="0">
      <selection activeCell="J72" sqref="J72"/>
    </sheetView>
  </sheetViews>
  <sheetFormatPr baseColWidth="10" defaultRowHeight="15" x14ac:dyDescent="0.25"/>
  <cols>
    <col min="2" max="2" width="18.85546875" customWidth="1"/>
    <col min="3" max="3" width="12" bestFit="1" customWidth="1"/>
    <col min="4" max="4" width="22.42578125" bestFit="1" customWidth="1"/>
    <col min="5" max="5" width="14.5703125" bestFit="1" customWidth="1"/>
    <col min="6" max="6" width="16.5703125" bestFit="1" customWidth="1"/>
    <col min="7" max="7" width="19" bestFit="1" customWidth="1"/>
    <col min="9" max="9" width="34.28515625" bestFit="1" customWidth="1"/>
    <col min="10" max="10" width="35" bestFit="1" customWidth="1"/>
    <col min="11" max="11" width="16.5703125" bestFit="1" customWidth="1"/>
  </cols>
  <sheetData>
    <row r="3" spans="1:13" x14ac:dyDescent="0.25">
      <c r="A3" s="27" t="s">
        <v>40</v>
      </c>
      <c r="B3" s="14" t="s">
        <v>87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83</v>
      </c>
      <c r="J3" s="14" t="s">
        <v>84</v>
      </c>
      <c r="K3" s="14" t="s">
        <v>85</v>
      </c>
    </row>
    <row r="4" spans="1:13" x14ac:dyDescent="0.25">
      <c r="B4" s="13"/>
      <c r="C4" s="15"/>
      <c r="D4" s="15"/>
      <c r="E4" s="15"/>
      <c r="F4" s="15"/>
      <c r="G4" s="15"/>
      <c r="H4" s="15"/>
    </row>
    <row r="5" spans="1:13" x14ac:dyDescent="0.25">
      <c r="A5" s="27">
        <v>2024</v>
      </c>
      <c r="B5" s="12" t="s">
        <v>100</v>
      </c>
      <c r="C5" s="15">
        <v>84947203638</v>
      </c>
      <c r="D5" s="15" t="s">
        <v>59</v>
      </c>
      <c r="E5" s="15" t="s">
        <v>60</v>
      </c>
      <c r="F5" s="15" t="s">
        <v>61</v>
      </c>
      <c r="G5" s="15" t="s">
        <v>62</v>
      </c>
      <c r="H5" s="15">
        <v>261.89</v>
      </c>
      <c r="I5" s="21">
        <f>405.93+379.74</f>
        <v>785.67000000000007</v>
      </c>
      <c r="J5" s="21">
        <f>+K5+I5</f>
        <v>4956.3</v>
      </c>
      <c r="K5" s="21">
        <f>2162.08+2008.55</f>
        <v>4170.63</v>
      </c>
    </row>
    <row r="6" spans="1:13" x14ac:dyDescent="0.25">
      <c r="B6" s="12" t="s">
        <v>86</v>
      </c>
      <c r="C6" s="15"/>
      <c r="D6" s="15"/>
      <c r="E6" s="15"/>
      <c r="F6" s="15"/>
      <c r="G6" s="15"/>
      <c r="H6" s="15"/>
      <c r="I6" s="21">
        <v>798.76</v>
      </c>
      <c r="J6" s="21">
        <f>+K6+I6</f>
        <v>4969.3600000000006</v>
      </c>
      <c r="K6" s="21">
        <v>4170.6000000000004</v>
      </c>
    </row>
    <row r="7" spans="1:13" x14ac:dyDescent="0.25">
      <c r="B7" s="12"/>
      <c r="C7" s="15"/>
      <c r="D7" s="15"/>
      <c r="E7" s="15"/>
      <c r="F7" s="15"/>
      <c r="G7" s="15"/>
      <c r="H7" s="15"/>
      <c r="I7" s="22">
        <f>SUM(I5:I6)</f>
        <v>1584.43</v>
      </c>
      <c r="J7" s="22">
        <f>SUM(J5:J6)</f>
        <v>9925.66</v>
      </c>
      <c r="K7" s="22">
        <f>SUM(K5:K6)</f>
        <v>8341.23</v>
      </c>
    </row>
    <row r="8" spans="1:13" x14ac:dyDescent="0.25">
      <c r="B8" s="12"/>
      <c r="C8" s="15"/>
      <c r="D8" s="15"/>
      <c r="E8" s="15"/>
      <c r="F8" s="15"/>
      <c r="G8" s="15"/>
      <c r="H8" s="15"/>
      <c r="I8" s="21"/>
      <c r="J8" s="21"/>
      <c r="K8" s="21"/>
    </row>
    <row r="9" spans="1:13" x14ac:dyDescent="0.25">
      <c r="B9" s="12" t="s">
        <v>100</v>
      </c>
      <c r="C9" s="15">
        <v>84897224865</v>
      </c>
      <c r="D9" s="15" t="s">
        <v>66</v>
      </c>
      <c r="E9" s="15" t="s">
        <v>67</v>
      </c>
      <c r="F9" s="15" t="s">
        <v>68</v>
      </c>
      <c r="G9" s="15" t="s">
        <v>69</v>
      </c>
      <c r="H9" s="15">
        <v>261.89</v>
      </c>
      <c r="I9" s="21">
        <f>405.93+379.74</f>
        <v>785.67000000000007</v>
      </c>
      <c r="J9" s="21">
        <f>+K9+I9</f>
        <v>2277.63</v>
      </c>
      <c r="K9" s="21">
        <f>778.1+713.86</f>
        <v>1491.96</v>
      </c>
      <c r="M9" s="32"/>
    </row>
    <row r="10" spans="1:13" x14ac:dyDescent="0.25">
      <c r="B10" s="12" t="s">
        <v>100</v>
      </c>
      <c r="C10" s="15"/>
      <c r="D10" s="15"/>
      <c r="E10" s="15"/>
      <c r="F10" s="15"/>
      <c r="G10" s="15"/>
      <c r="H10" s="15"/>
      <c r="I10" s="21">
        <v>798.76</v>
      </c>
      <c r="J10" s="21">
        <f>+K10+I10</f>
        <v>2290.7200000000003</v>
      </c>
      <c r="K10" s="21">
        <v>1491.96</v>
      </c>
    </row>
    <row r="11" spans="1:13" x14ac:dyDescent="0.25">
      <c r="B11" s="12" t="s">
        <v>86</v>
      </c>
      <c r="C11" s="15"/>
      <c r="D11" s="15"/>
      <c r="E11" s="15"/>
      <c r="F11" s="15"/>
      <c r="G11" s="15"/>
      <c r="H11" s="15"/>
      <c r="I11" s="22">
        <f>SUM(I9:I10)</f>
        <v>1584.43</v>
      </c>
      <c r="J11" s="22">
        <f>SUM(J9:J10)</f>
        <v>4568.3500000000004</v>
      </c>
      <c r="K11" s="22">
        <f>SUM(K9:K10)</f>
        <v>2983.92</v>
      </c>
    </row>
    <row r="12" spans="1:13" x14ac:dyDescent="0.25">
      <c r="B12" s="12"/>
      <c r="C12" s="15"/>
      <c r="D12" s="15"/>
      <c r="E12" s="15"/>
      <c r="F12" s="15"/>
      <c r="G12" s="15"/>
      <c r="H12" s="15"/>
      <c r="I12" s="21"/>
      <c r="J12" s="21"/>
      <c r="K12" s="21"/>
    </row>
    <row r="13" spans="1:13" x14ac:dyDescent="0.25">
      <c r="B13" s="12" t="s">
        <v>100</v>
      </c>
      <c r="C13" s="15">
        <v>84048300093</v>
      </c>
      <c r="D13" s="15" t="s">
        <v>71</v>
      </c>
      <c r="E13" s="15" t="s">
        <v>72</v>
      </c>
      <c r="F13" s="15" t="s">
        <v>73</v>
      </c>
      <c r="G13" s="15" t="s">
        <v>74</v>
      </c>
      <c r="H13" s="15">
        <v>262.23</v>
      </c>
      <c r="I13" s="21">
        <f>406.46+380.23</f>
        <v>786.69</v>
      </c>
      <c r="J13" s="21">
        <f>+K13+I13</f>
        <v>3433.6699999999996</v>
      </c>
      <c r="K13" s="21">
        <f>1374.86+1272.12</f>
        <v>2646.9799999999996</v>
      </c>
    </row>
    <row r="14" spans="1:13" x14ac:dyDescent="0.25">
      <c r="B14" s="12" t="s">
        <v>86</v>
      </c>
      <c r="C14" s="15"/>
      <c r="D14" s="15"/>
      <c r="E14" s="15"/>
      <c r="F14" s="15"/>
      <c r="G14" s="15"/>
      <c r="H14" s="15"/>
      <c r="I14" s="21">
        <v>799.8</v>
      </c>
      <c r="J14" s="21">
        <f>+K14+I14</f>
        <v>3449.3999999999996</v>
      </c>
      <c r="K14" s="21">
        <v>2649.6</v>
      </c>
    </row>
    <row r="15" spans="1:13" x14ac:dyDescent="0.25">
      <c r="B15" s="12"/>
      <c r="C15" s="15"/>
      <c r="D15" s="15"/>
      <c r="E15" s="15"/>
      <c r="F15" s="15"/>
      <c r="G15" s="15"/>
      <c r="H15" s="15"/>
      <c r="I15" s="22">
        <f>SUM(I13:I14)</f>
        <v>1586.49</v>
      </c>
      <c r="J15" s="22">
        <f>SUM(J13:J14)</f>
        <v>6883.07</v>
      </c>
      <c r="K15" s="22">
        <f>SUM(K13:K14)</f>
        <v>5296.58</v>
      </c>
    </row>
    <row r="16" spans="1:13" x14ac:dyDescent="0.25">
      <c r="B16" s="12"/>
      <c r="C16" s="15"/>
      <c r="D16" s="15"/>
      <c r="E16" s="15"/>
      <c r="F16" s="15"/>
      <c r="G16" s="15"/>
      <c r="H16" s="15"/>
      <c r="I16" s="21"/>
      <c r="J16" s="21"/>
      <c r="K16" s="21"/>
    </row>
    <row r="17" spans="1:13" x14ac:dyDescent="0.25">
      <c r="B17" s="12" t="s">
        <v>100</v>
      </c>
      <c r="C17" s="15">
        <v>11018330230</v>
      </c>
      <c r="D17" s="15" t="s">
        <v>76</v>
      </c>
      <c r="E17" s="15" t="s">
        <v>77</v>
      </c>
      <c r="F17" s="15" t="s">
        <v>78</v>
      </c>
      <c r="G17" s="15" t="s">
        <v>79</v>
      </c>
      <c r="H17" s="15">
        <v>261.89</v>
      </c>
      <c r="I17" s="21">
        <f>405.93+379.74</f>
        <v>785.67000000000007</v>
      </c>
      <c r="J17" s="21">
        <f>+K17+I17</f>
        <v>4502.7299999999996</v>
      </c>
      <c r="K17" s="21">
        <f>1927.73+1789.33</f>
        <v>3717.06</v>
      </c>
    </row>
    <row r="18" spans="1:13" x14ac:dyDescent="0.25">
      <c r="B18" s="12" t="s">
        <v>86</v>
      </c>
      <c r="I18" s="21">
        <v>798.76</v>
      </c>
      <c r="J18" s="21">
        <f>+K18+I18</f>
        <v>4515.83</v>
      </c>
      <c r="K18" s="21">
        <v>3717.07</v>
      </c>
    </row>
    <row r="19" spans="1:13" x14ac:dyDescent="0.25">
      <c r="I19" s="22">
        <f>SUM(I17:I18)</f>
        <v>1584.43</v>
      </c>
      <c r="J19" s="22">
        <f>SUM(J17:J18)</f>
        <v>9018.56</v>
      </c>
      <c r="K19" s="22">
        <f>SUM(K17:K18)</f>
        <v>7434.13</v>
      </c>
    </row>
    <row r="21" spans="1:13" ht="30" x14ac:dyDescent="0.25">
      <c r="B21" s="26" t="s">
        <v>101</v>
      </c>
      <c r="C21" s="23"/>
      <c r="I21" s="24">
        <f>+I7+I11+I15+I19</f>
        <v>6339.7800000000007</v>
      </c>
      <c r="J21" s="24">
        <f>+J7+J11+J15+J19</f>
        <v>30395.64</v>
      </c>
      <c r="K21" s="24">
        <f>+K7+K11+K15+K19</f>
        <v>24055.86</v>
      </c>
    </row>
    <row r="25" spans="1:13" x14ac:dyDescent="0.25">
      <c r="A25" s="27" t="s">
        <v>40</v>
      </c>
      <c r="B25" s="14" t="s">
        <v>87</v>
      </c>
      <c r="C25" s="14" t="s">
        <v>51</v>
      </c>
      <c r="D25" s="14" t="s">
        <v>52</v>
      </c>
      <c r="E25" s="14" t="s">
        <v>53</v>
      </c>
      <c r="F25" s="14" t="s">
        <v>54</v>
      </c>
      <c r="G25" s="14" t="s">
        <v>55</v>
      </c>
      <c r="H25" s="14" t="s">
        <v>56</v>
      </c>
      <c r="I25" s="14" t="s">
        <v>83</v>
      </c>
      <c r="J25" s="14" t="s">
        <v>84</v>
      </c>
      <c r="K25" s="14" t="s">
        <v>85</v>
      </c>
    </row>
    <row r="26" spans="1:13" x14ac:dyDescent="0.25">
      <c r="B26" s="13"/>
      <c r="C26" s="15"/>
      <c r="D26" s="15"/>
      <c r="E26" s="15"/>
      <c r="F26" s="15"/>
      <c r="G26" s="15"/>
      <c r="H26" s="15"/>
    </row>
    <row r="27" spans="1:13" x14ac:dyDescent="0.25">
      <c r="A27" s="27">
        <v>2024</v>
      </c>
      <c r="B27" s="12" t="s">
        <v>102</v>
      </c>
      <c r="C27" s="15">
        <v>84947203638</v>
      </c>
      <c r="D27" s="15" t="s">
        <v>59</v>
      </c>
      <c r="E27" s="15" t="s">
        <v>60</v>
      </c>
      <c r="F27" s="15" t="s">
        <v>61</v>
      </c>
      <c r="G27" s="15" t="s">
        <v>62</v>
      </c>
      <c r="H27" s="15">
        <v>261.89</v>
      </c>
      <c r="I27" s="21">
        <f>405.93+379.74</f>
        <v>785.67000000000007</v>
      </c>
      <c r="J27" s="21">
        <f>+K27+I27</f>
        <v>4956.3</v>
      </c>
      <c r="K27" s="21">
        <f>2162.08+2008.55</f>
        <v>4170.63</v>
      </c>
    </row>
    <row r="28" spans="1:13" x14ac:dyDescent="0.25">
      <c r="B28" s="12" t="s">
        <v>103</v>
      </c>
      <c r="C28" s="15"/>
      <c r="D28" s="15"/>
      <c r="E28" s="15"/>
      <c r="F28" s="15"/>
      <c r="G28" s="15"/>
      <c r="H28" s="15"/>
      <c r="I28" s="21">
        <v>798.76</v>
      </c>
      <c r="J28" s="21">
        <f>+K28+I28</f>
        <v>4969.3600000000006</v>
      </c>
      <c r="K28" s="21">
        <v>4170.6000000000004</v>
      </c>
    </row>
    <row r="29" spans="1:13" x14ac:dyDescent="0.25">
      <c r="B29" s="12"/>
      <c r="C29" s="15"/>
      <c r="D29" s="15"/>
      <c r="E29" s="15"/>
      <c r="F29" s="15"/>
      <c r="G29" s="15"/>
      <c r="H29" s="15"/>
      <c r="I29" s="22">
        <f>SUM(I27:I28)</f>
        <v>1584.43</v>
      </c>
      <c r="J29" s="22">
        <f>SUM(J27:J28)</f>
        <v>9925.66</v>
      </c>
      <c r="K29" s="22">
        <f>SUM(K27:K28)</f>
        <v>8341.23</v>
      </c>
    </row>
    <row r="30" spans="1:13" x14ac:dyDescent="0.25">
      <c r="B30" s="12"/>
      <c r="C30" s="15"/>
      <c r="D30" s="15"/>
      <c r="E30" s="15"/>
      <c r="F30" s="15"/>
      <c r="G30" s="15"/>
      <c r="H30" s="15"/>
      <c r="I30" s="21"/>
      <c r="J30" s="21"/>
      <c r="K30" s="21"/>
      <c r="M30" s="32"/>
    </row>
    <row r="31" spans="1:13" x14ac:dyDescent="0.25">
      <c r="B31" s="12" t="s">
        <v>102</v>
      </c>
      <c r="C31" s="15">
        <v>84897224865</v>
      </c>
      <c r="D31" s="15" t="s">
        <v>66</v>
      </c>
      <c r="E31" s="15" t="s">
        <v>67</v>
      </c>
      <c r="F31" s="15" t="s">
        <v>68</v>
      </c>
      <c r="G31" s="15" t="s">
        <v>69</v>
      </c>
      <c r="H31" s="15">
        <v>261.89</v>
      </c>
      <c r="I31" s="21">
        <f>405.93+379.74</f>
        <v>785.67000000000007</v>
      </c>
      <c r="J31" s="21">
        <f>+K31+I31</f>
        <v>2277.63</v>
      </c>
      <c r="K31" s="21">
        <f>778.1+713.86</f>
        <v>1491.96</v>
      </c>
    </row>
    <row r="32" spans="1:13" x14ac:dyDescent="0.25">
      <c r="B32" s="12" t="s">
        <v>103</v>
      </c>
      <c r="C32" s="15"/>
      <c r="D32" s="15"/>
      <c r="E32" s="15"/>
      <c r="F32" s="15"/>
      <c r="G32" s="15"/>
      <c r="H32" s="15"/>
      <c r="I32" s="21">
        <v>798.76</v>
      </c>
      <c r="J32" s="21">
        <f>+K32+I32</f>
        <v>2290.7200000000003</v>
      </c>
      <c r="K32" s="21">
        <v>1491.96</v>
      </c>
    </row>
    <row r="33" spans="1:13" x14ac:dyDescent="0.25">
      <c r="B33" s="12"/>
      <c r="C33" s="15"/>
      <c r="D33" s="15"/>
      <c r="E33" s="15"/>
      <c r="F33" s="15"/>
      <c r="G33" s="15"/>
      <c r="H33" s="15"/>
      <c r="I33" s="22">
        <f>SUM(I31:I32)</f>
        <v>1584.43</v>
      </c>
      <c r="J33" s="22">
        <f>SUM(J31:J32)</f>
        <v>4568.3500000000004</v>
      </c>
      <c r="K33" s="22">
        <f>SUM(K31:K32)</f>
        <v>2983.92</v>
      </c>
    </row>
    <row r="34" spans="1:13" x14ac:dyDescent="0.25">
      <c r="B34" s="12"/>
      <c r="C34" s="15"/>
      <c r="D34" s="15"/>
      <c r="E34" s="15"/>
      <c r="F34" s="15"/>
      <c r="G34" s="15"/>
      <c r="H34" s="15"/>
      <c r="I34" s="21"/>
      <c r="J34" s="21"/>
      <c r="K34" s="21"/>
    </row>
    <row r="35" spans="1:13" x14ac:dyDescent="0.25">
      <c r="B35" s="12" t="s">
        <v>102</v>
      </c>
      <c r="C35" s="15">
        <v>84048300093</v>
      </c>
      <c r="D35" s="15" t="s">
        <v>71</v>
      </c>
      <c r="E35" s="15" t="s">
        <v>72</v>
      </c>
      <c r="F35" s="15" t="s">
        <v>73</v>
      </c>
      <c r="G35" s="15" t="s">
        <v>74</v>
      </c>
      <c r="H35" s="15">
        <v>262.23</v>
      </c>
      <c r="I35" s="21">
        <f>406.46+380.23</f>
        <v>786.69</v>
      </c>
      <c r="J35" s="21">
        <f>+K35+I35</f>
        <v>3433.6699999999996</v>
      </c>
      <c r="K35" s="21">
        <f>1374.86+1272.12</f>
        <v>2646.9799999999996</v>
      </c>
    </row>
    <row r="36" spans="1:13" x14ac:dyDescent="0.25">
      <c r="B36" s="12" t="s">
        <v>103</v>
      </c>
      <c r="C36" s="15"/>
      <c r="D36" s="15"/>
      <c r="E36" s="15"/>
      <c r="F36" s="15"/>
      <c r="G36" s="15"/>
      <c r="H36" s="15"/>
      <c r="I36" s="21">
        <v>799.8</v>
      </c>
      <c r="J36" s="21">
        <f>+K36+I36</f>
        <v>3449.3999999999996</v>
      </c>
      <c r="K36" s="21">
        <v>2649.6</v>
      </c>
    </row>
    <row r="37" spans="1:13" x14ac:dyDescent="0.25">
      <c r="B37" s="12"/>
      <c r="C37" s="15"/>
      <c r="D37" s="15"/>
      <c r="E37" s="15"/>
      <c r="F37" s="15"/>
      <c r="G37" s="15"/>
      <c r="H37" s="15"/>
      <c r="I37" s="22">
        <f>SUM(I35:I36)</f>
        <v>1586.49</v>
      </c>
      <c r="J37" s="22">
        <f>SUM(J35:J36)</f>
        <v>6883.07</v>
      </c>
      <c r="K37" s="22">
        <f>SUM(K35:K36)</f>
        <v>5296.58</v>
      </c>
    </row>
    <row r="38" spans="1:13" x14ac:dyDescent="0.25">
      <c r="B38" s="12"/>
      <c r="C38" s="15"/>
      <c r="D38" s="15"/>
      <c r="E38" s="15"/>
      <c r="F38" s="15"/>
      <c r="G38" s="15"/>
      <c r="H38" s="15"/>
      <c r="I38" s="21"/>
      <c r="J38" s="21"/>
      <c r="K38" s="21"/>
    </row>
    <row r="39" spans="1:13" x14ac:dyDescent="0.25">
      <c r="B39" s="12" t="s">
        <v>102</v>
      </c>
      <c r="C39" s="15">
        <v>11018330230</v>
      </c>
      <c r="D39" s="15" t="s">
        <v>76</v>
      </c>
      <c r="E39" s="15" t="s">
        <v>77</v>
      </c>
      <c r="F39" s="15" t="s">
        <v>78</v>
      </c>
      <c r="G39" s="15" t="s">
        <v>79</v>
      </c>
      <c r="H39" s="15">
        <v>261.89</v>
      </c>
      <c r="I39" s="21">
        <f>405.93+379.74</f>
        <v>785.67000000000007</v>
      </c>
      <c r="J39" s="21">
        <f>+K39+I39</f>
        <v>4502.7299999999996</v>
      </c>
      <c r="K39" s="21">
        <f>1927.73+1789.33</f>
        <v>3717.06</v>
      </c>
    </row>
    <row r="40" spans="1:13" x14ac:dyDescent="0.25">
      <c r="B40" s="12" t="s">
        <v>103</v>
      </c>
      <c r="I40" s="21">
        <v>798.76</v>
      </c>
      <c r="J40" s="21">
        <f>+K40+I40</f>
        <v>4515.83</v>
      </c>
      <c r="K40" s="21">
        <v>3717.07</v>
      </c>
    </row>
    <row r="41" spans="1:13" x14ac:dyDescent="0.25">
      <c r="I41" s="22">
        <f>SUM(I39:I40)</f>
        <v>1584.43</v>
      </c>
      <c r="J41" s="22">
        <f>SUM(J39:J40)</f>
        <v>9018.56</v>
      </c>
      <c r="K41" s="22">
        <f>SUM(K39:K40)</f>
        <v>7434.13</v>
      </c>
    </row>
    <row r="43" spans="1:13" ht="30" x14ac:dyDescent="0.25">
      <c r="B43" s="26" t="s">
        <v>104</v>
      </c>
      <c r="C43" s="23"/>
      <c r="I43" s="24">
        <f>+I29+I33+I37+I41</f>
        <v>6339.7800000000007</v>
      </c>
      <c r="J43" s="24">
        <f>+J29+J33+J37+J41</f>
        <v>30395.64</v>
      </c>
      <c r="K43" s="24">
        <f>+K29+K33+K37+K41</f>
        <v>24055.86</v>
      </c>
      <c r="M43" t="s">
        <v>106</v>
      </c>
    </row>
    <row r="47" spans="1:13" x14ac:dyDescent="0.25">
      <c r="A47" s="27" t="s">
        <v>40</v>
      </c>
      <c r="B47" s="14" t="s">
        <v>87</v>
      </c>
      <c r="C47" s="14" t="s">
        <v>51</v>
      </c>
      <c r="D47" s="14" t="s">
        <v>52</v>
      </c>
      <c r="E47" s="14" t="s">
        <v>53</v>
      </c>
      <c r="F47" s="14" t="s">
        <v>54</v>
      </c>
      <c r="G47" s="14" t="s">
        <v>55</v>
      </c>
      <c r="H47" s="14" t="s">
        <v>56</v>
      </c>
      <c r="I47" s="14" t="s">
        <v>83</v>
      </c>
      <c r="J47" s="14" t="s">
        <v>84</v>
      </c>
      <c r="K47" s="14" t="s">
        <v>85</v>
      </c>
    </row>
    <row r="48" spans="1:13" x14ac:dyDescent="0.25">
      <c r="B48" s="13"/>
      <c r="C48" s="15"/>
      <c r="D48" s="15"/>
      <c r="E48" s="15"/>
      <c r="F48" s="15"/>
      <c r="G48" s="15"/>
      <c r="H48" s="15"/>
    </row>
    <row r="49" spans="1:14" x14ac:dyDescent="0.25">
      <c r="A49" s="27">
        <v>2024</v>
      </c>
      <c r="B49" s="12" t="s">
        <v>88</v>
      </c>
      <c r="C49" s="15">
        <v>84947203638</v>
      </c>
      <c r="D49" s="15" t="s">
        <v>59</v>
      </c>
      <c r="E49" s="15" t="s">
        <v>60</v>
      </c>
      <c r="F49" s="15" t="s">
        <v>61</v>
      </c>
      <c r="G49" s="15" t="s">
        <v>62</v>
      </c>
      <c r="H49" s="15">
        <v>261.89</v>
      </c>
      <c r="I49" s="21">
        <v>798.76</v>
      </c>
      <c r="J49" s="21">
        <f>+K49+I49</f>
        <v>4969.3900000000003</v>
      </c>
      <c r="K49" s="21">
        <v>4170.63</v>
      </c>
      <c r="N49" s="32"/>
    </row>
    <row r="50" spans="1:14" x14ac:dyDescent="0.25">
      <c r="B50" s="12" t="s">
        <v>89</v>
      </c>
      <c r="C50" s="15"/>
      <c r="D50" s="15"/>
      <c r="E50" s="15"/>
      <c r="F50" s="15"/>
      <c r="G50" s="15"/>
      <c r="H50" s="15"/>
      <c r="I50" s="21">
        <v>798.76</v>
      </c>
      <c r="J50" s="21">
        <f>+K50+I50</f>
        <v>4969.3900000000003</v>
      </c>
      <c r="K50" s="21">
        <v>4170.63</v>
      </c>
    </row>
    <row r="51" spans="1:14" x14ac:dyDescent="0.25">
      <c r="B51" s="12"/>
      <c r="C51" s="15"/>
      <c r="D51" s="15"/>
      <c r="E51" s="15"/>
      <c r="F51" s="15"/>
      <c r="G51" s="15"/>
      <c r="H51" s="15"/>
      <c r="I51" s="22">
        <f>SUM(I49:I50)</f>
        <v>1597.52</v>
      </c>
      <c r="J51" s="22">
        <f>SUM(J49:J50)</f>
        <v>9938.7800000000007</v>
      </c>
      <c r="K51" s="22">
        <f>SUM(K49:K50)</f>
        <v>8341.26</v>
      </c>
    </row>
    <row r="52" spans="1:14" x14ac:dyDescent="0.25">
      <c r="B52" s="12"/>
      <c r="C52" s="15"/>
      <c r="D52" s="15"/>
      <c r="E52" s="15"/>
      <c r="F52" s="15"/>
      <c r="G52" s="15"/>
      <c r="H52" s="15"/>
      <c r="I52" s="21"/>
      <c r="J52" s="21"/>
      <c r="K52" s="21"/>
    </row>
    <row r="53" spans="1:14" x14ac:dyDescent="0.25">
      <c r="B53" s="12" t="s">
        <v>88</v>
      </c>
      <c r="C53" s="15">
        <v>84897224865</v>
      </c>
      <c r="D53" s="15" t="s">
        <v>66</v>
      </c>
      <c r="E53" s="15" t="s">
        <v>67</v>
      </c>
      <c r="F53" s="15" t="s">
        <v>68</v>
      </c>
      <c r="G53" s="15" t="s">
        <v>69</v>
      </c>
      <c r="H53" s="15">
        <v>261.89</v>
      </c>
      <c r="I53" s="21">
        <v>798.76</v>
      </c>
      <c r="J53" s="21">
        <f>+K53+I53</f>
        <v>2290.7200000000003</v>
      </c>
      <c r="K53" s="21">
        <v>1491.96</v>
      </c>
    </row>
    <row r="54" spans="1:14" x14ac:dyDescent="0.25">
      <c r="B54" s="12" t="s">
        <v>89</v>
      </c>
      <c r="C54" s="15"/>
      <c r="D54" s="15"/>
      <c r="E54" s="15"/>
      <c r="F54" s="15"/>
      <c r="G54" s="15"/>
      <c r="H54" s="15"/>
      <c r="I54" s="21">
        <v>798.76</v>
      </c>
      <c r="J54" s="21">
        <f>+K54+I54</f>
        <v>2290.7200000000003</v>
      </c>
      <c r="K54" s="21">
        <v>1491.96</v>
      </c>
    </row>
    <row r="55" spans="1:14" x14ac:dyDescent="0.25">
      <c r="B55" s="12"/>
      <c r="C55" s="15"/>
      <c r="D55" s="15"/>
      <c r="E55" s="15"/>
      <c r="F55" s="15"/>
      <c r="G55" s="15"/>
      <c r="H55" s="15"/>
      <c r="I55" s="22">
        <f>SUM(I53:I54)</f>
        <v>1597.52</v>
      </c>
      <c r="J55" s="22">
        <f>SUM(J53:J54)</f>
        <v>4581.4400000000005</v>
      </c>
      <c r="K55" s="22">
        <f>SUM(K53:K54)</f>
        <v>2983.92</v>
      </c>
    </row>
    <row r="56" spans="1:14" x14ac:dyDescent="0.25">
      <c r="B56" s="12"/>
      <c r="C56" s="15"/>
      <c r="D56" s="15"/>
      <c r="E56" s="15"/>
      <c r="F56" s="15"/>
      <c r="G56" s="15"/>
      <c r="H56" s="15"/>
      <c r="I56" s="21"/>
      <c r="J56" s="21"/>
      <c r="K56" s="21"/>
    </row>
    <row r="57" spans="1:14" x14ac:dyDescent="0.25">
      <c r="B57" s="12" t="s">
        <v>88</v>
      </c>
      <c r="C57" s="15">
        <v>84048300093</v>
      </c>
      <c r="D57" s="15" t="s">
        <v>71</v>
      </c>
      <c r="E57" s="15" t="s">
        <v>72</v>
      </c>
      <c r="F57" s="15" t="s">
        <v>73</v>
      </c>
      <c r="G57" s="15" t="s">
        <v>74</v>
      </c>
      <c r="H57" s="15">
        <v>149.77000000000001</v>
      </c>
      <c r="I57" s="21">
        <v>665.66</v>
      </c>
      <c r="J57" s="21">
        <f>+K57+I57</f>
        <v>3312.64</v>
      </c>
      <c r="K57" s="21">
        <v>2646.98</v>
      </c>
      <c r="L57" s="30"/>
    </row>
    <row r="58" spans="1:14" x14ac:dyDescent="0.25">
      <c r="B58" s="12" t="s">
        <v>89</v>
      </c>
      <c r="C58" s="15"/>
      <c r="D58" s="15"/>
      <c r="E58" s="15"/>
      <c r="F58" s="15"/>
      <c r="G58" s="15"/>
      <c r="H58" s="15"/>
      <c r="I58" s="21">
        <v>665.66</v>
      </c>
      <c r="J58" s="21">
        <f>+K58+I58</f>
        <v>3312.64</v>
      </c>
      <c r="K58" s="21">
        <v>2646.98</v>
      </c>
      <c r="L58" s="30"/>
    </row>
    <row r="59" spans="1:14" x14ac:dyDescent="0.25">
      <c r="B59" s="12"/>
      <c r="C59" s="15"/>
      <c r="D59" s="15"/>
      <c r="E59" s="15"/>
      <c r="F59" s="15"/>
      <c r="G59" s="15"/>
      <c r="H59" s="15"/>
      <c r="I59" s="22">
        <f>SUM(I57:I58)</f>
        <v>1331.32</v>
      </c>
      <c r="J59" s="22">
        <f>SUM(J57:J58)</f>
        <v>6625.28</v>
      </c>
      <c r="K59" s="22">
        <f>SUM(K57:K58)</f>
        <v>5293.96</v>
      </c>
    </row>
    <row r="60" spans="1:14" x14ac:dyDescent="0.25">
      <c r="B60" s="12"/>
      <c r="C60" s="15"/>
      <c r="D60" s="15"/>
      <c r="E60" s="15"/>
      <c r="F60" s="15"/>
      <c r="G60" s="15"/>
      <c r="H60" s="15"/>
      <c r="I60" s="21"/>
      <c r="J60" s="21"/>
      <c r="K60" s="21"/>
    </row>
    <row r="61" spans="1:14" x14ac:dyDescent="0.25">
      <c r="B61" s="12" t="s">
        <v>88</v>
      </c>
      <c r="C61" s="15">
        <v>11018330230</v>
      </c>
      <c r="D61" s="15" t="s">
        <v>76</v>
      </c>
      <c r="E61" s="15" t="s">
        <v>77</v>
      </c>
      <c r="F61" s="15" t="s">
        <v>78</v>
      </c>
      <c r="G61" s="15" t="s">
        <v>79</v>
      </c>
      <c r="H61" s="15">
        <v>261.89</v>
      </c>
      <c r="I61" s="21">
        <v>798.76</v>
      </c>
      <c r="J61" s="21">
        <f>+K61+I61</f>
        <v>4515.83</v>
      </c>
      <c r="K61" s="21">
        <v>3717.07</v>
      </c>
    </row>
    <row r="62" spans="1:14" x14ac:dyDescent="0.25">
      <c r="B62" s="12" t="s">
        <v>89</v>
      </c>
      <c r="I62" s="21">
        <v>798.76</v>
      </c>
      <c r="J62" s="21">
        <f>+K62+I62</f>
        <v>4515.83</v>
      </c>
      <c r="K62" s="21">
        <v>3717.07</v>
      </c>
    </row>
    <row r="63" spans="1:14" x14ac:dyDescent="0.25">
      <c r="I63" s="22">
        <f>SUM(I61:I62)</f>
        <v>1597.52</v>
      </c>
      <c r="J63" s="22">
        <f>SUM(J61:J62)</f>
        <v>9031.66</v>
      </c>
      <c r="K63" s="22">
        <f>SUM(K61:K62)</f>
        <v>7434.14</v>
      </c>
    </row>
    <row r="65" spans="2:11" ht="30" x14ac:dyDescent="0.25">
      <c r="B65" s="26" t="s">
        <v>93</v>
      </c>
      <c r="C65" s="23"/>
      <c r="I65" s="24">
        <f>+I51+I55+I59+I63</f>
        <v>6123.8799999999992</v>
      </c>
      <c r="J65" s="24">
        <f>+J51+J55+J59+J63</f>
        <v>30177.16</v>
      </c>
      <c r="K65" s="24">
        <f>+K51+K55+K59+K63</f>
        <v>24053.279999999999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E09F-5FE7-4133-B5D8-8CA53A67A6FF}">
  <dimension ref="A3:O57"/>
  <sheetViews>
    <sheetView tabSelected="1" topLeftCell="G28" workbookViewId="0">
      <selection activeCell="J52" sqref="I52:J52"/>
    </sheetView>
  </sheetViews>
  <sheetFormatPr baseColWidth="10" defaultRowHeight="15" x14ac:dyDescent="0.25"/>
  <cols>
    <col min="2" max="2" width="18.85546875" customWidth="1"/>
    <col min="3" max="3" width="12" bestFit="1" customWidth="1"/>
    <col min="4" max="4" width="22.42578125" bestFit="1" customWidth="1"/>
    <col min="5" max="5" width="14.5703125" bestFit="1" customWidth="1"/>
    <col min="6" max="6" width="16.5703125" bestFit="1" customWidth="1"/>
    <col min="7" max="7" width="19" bestFit="1" customWidth="1"/>
    <col min="9" max="9" width="34.28515625" bestFit="1" customWidth="1"/>
    <col min="10" max="10" width="35" bestFit="1" customWidth="1"/>
    <col min="11" max="11" width="16.5703125" bestFit="1" customWidth="1"/>
  </cols>
  <sheetData>
    <row r="3" spans="1:13" x14ac:dyDescent="0.25">
      <c r="A3" s="27" t="s">
        <v>40</v>
      </c>
      <c r="B3" s="14" t="s">
        <v>87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83</v>
      </c>
      <c r="J3" s="14" t="s">
        <v>84</v>
      </c>
      <c r="K3" s="14" t="s">
        <v>85</v>
      </c>
    </row>
    <row r="4" spans="1:13" x14ac:dyDescent="0.25">
      <c r="B4" s="13"/>
      <c r="C4" s="15"/>
      <c r="D4" s="15"/>
      <c r="E4" s="15"/>
      <c r="F4" s="15"/>
      <c r="G4" s="15"/>
      <c r="H4" s="15"/>
    </row>
    <row r="5" spans="1:13" x14ac:dyDescent="0.25">
      <c r="A5" s="27">
        <v>2025</v>
      </c>
      <c r="B5" s="12" t="s">
        <v>100</v>
      </c>
      <c r="C5" s="15">
        <v>84947203638</v>
      </c>
      <c r="D5" s="15" t="s">
        <v>59</v>
      </c>
      <c r="E5" s="15" t="s">
        <v>60</v>
      </c>
      <c r="F5" s="15" t="s">
        <v>61</v>
      </c>
      <c r="G5" s="15" t="s">
        <v>62</v>
      </c>
      <c r="H5" s="15">
        <v>293.69</v>
      </c>
      <c r="I5" s="21">
        <f>405.93+379.74</f>
        <v>785.67000000000007</v>
      </c>
      <c r="J5" s="21">
        <f>+K5+I5</f>
        <v>4956.3</v>
      </c>
      <c r="K5" s="21">
        <f>2162.08+2008.55</f>
        <v>4170.63</v>
      </c>
    </row>
    <row r="6" spans="1:13" x14ac:dyDescent="0.25">
      <c r="B6" s="12" t="s">
        <v>86</v>
      </c>
      <c r="C6" s="15"/>
      <c r="D6" s="15"/>
      <c r="E6" s="15"/>
      <c r="F6" s="15"/>
      <c r="G6" s="15"/>
      <c r="H6" s="15"/>
      <c r="I6" s="21">
        <v>798.76</v>
      </c>
      <c r="J6" s="21">
        <f>+K6+I6</f>
        <v>4969.3600000000006</v>
      </c>
      <c r="K6" s="21">
        <v>4170.6000000000004</v>
      </c>
    </row>
    <row r="7" spans="1:13" x14ac:dyDescent="0.25">
      <c r="B7" s="12"/>
      <c r="C7" s="15"/>
      <c r="D7" s="15"/>
      <c r="E7" s="15"/>
      <c r="F7" s="15"/>
      <c r="G7" s="15"/>
      <c r="H7" s="15"/>
      <c r="I7" s="22">
        <f>SUM(I5:I6)</f>
        <v>1584.43</v>
      </c>
      <c r="J7" s="22">
        <f>SUM(J5:J6)</f>
        <v>9925.66</v>
      </c>
      <c r="K7" s="22">
        <f>SUM(K5:K6)</f>
        <v>8341.23</v>
      </c>
    </row>
    <row r="8" spans="1:13" x14ac:dyDescent="0.25">
      <c r="B8" s="12"/>
      <c r="C8" s="15"/>
      <c r="D8" s="15"/>
      <c r="E8" s="15"/>
      <c r="F8" s="15"/>
      <c r="G8" s="15"/>
      <c r="H8" s="15"/>
      <c r="I8" s="21"/>
      <c r="J8" s="21"/>
      <c r="K8" s="21"/>
    </row>
    <row r="9" spans="1:13" x14ac:dyDescent="0.25">
      <c r="B9" s="12" t="s">
        <v>100</v>
      </c>
      <c r="C9" s="15">
        <v>84897224865</v>
      </c>
      <c r="D9" s="15" t="s">
        <v>66</v>
      </c>
      <c r="E9" s="15" t="s">
        <v>67</v>
      </c>
      <c r="F9" s="15" t="s">
        <v>68</v>
      </c>
      <c r="G9" s="15" t="s">
        <v>69</v>
      </c>
      <c r="H9" s="15">
        <v>293.69</v>
      </c>
      <c r="I9" s="21">
        <f>405.93+379.74</f>
        <v>785.67000000000007</v>
      </c>
      <c r="J9" s="21">
        <f>+K9+I9</f>
        <v>2277.63</v>
      </c>
      <c r="K9" s="21">
        <f>778.1+713.86</f>
        <v>1491.96</v>
      </c>
      <c r="M9" s="32"/>
    </row>
    <row r="10" spans="1:13" x14ac:dyDescent="0.25">
      <c r="B10" s="12" t="s">
        <v>100</v>
      </c>
      <c r="C10" s="15"/>
      <c r="D10" s="15"/>
      <c r="E10" s="15"/>
      <c r="F10" s="15"/>
      <c r="G10" s="15"/>
      <c r="H10" s="15"/>
      <c r="I10" s="21">
        <v>798.76</v>
      </c>
      <c r="J10" s="21">
        <f>+K10+I10</f>
        <v>2290.7200000000003</v>
      </c>
      <c r="K10" s="21">
        <v>1491.96</v>
      </c>
    </row>
    <row r="11" spans="1:13" x14ac:dyDescent="0.25">
      <c r="B11" s="12" t="s">
        <v>86</v>
      </c>
      <c r="C11" s="15"/>
      <c r="D11" s="15"/>
      <c r="E11" s="15"/>
      <c r="F11" s="15"/>
      <c r="G11" s="15"/>
      <c r="H11" s="15"/>
      <c r="I11" s="22">
        <f>SUM(I9:I10)</f>
        <v>1584.43</v>
      </c>
      <c r="J11" s="22">
        <f>SUM(J9:J10)</f>
        <v>4568.3500000000004</v>
      </c>
      <c r="K11" s="22">
        <f>SUM(K9:K10)</f>
        <v>2983.92</v>
      </c>
    </row>
    <row r="12" spans="1:13" x14ac:dyDescent="0.25">
      <c r="B12" s="12"/>
      <c r="C12" s="15"/>
      <c r="D12" s="15"/>
      <c r="E12" s="15"/>
      <c r="F12" s="15"/>
      <c r="G12" s="15"/>
      <c r="H12" s="15"/>
      <c r="I12" s="21"/>
      <c r="J12" s="21"/>
      <c r="K12" s="21"/>
    </row>
    <row r="13" spans="1:13" x14ac:dyDescent="0.25">
      <c r="B13" s="12" t="s">
        <v>100</v>
      </c>
      <c r="C13" s="15">
        <v>11018330230</v>
      </c>
      <c r="D13" s="15" t="s">
        <v>76</v>
      </c>
      <c r="E13" s="15" t="s">
        <v>77</v>
      </c>
      <c r="F13" s="15" t="s">
        <v>78</v>
      </c>
      <c r="G13" s="15" t="s">
        <v>79</v>
      </c>
      <c r="H13" s="15">
        <v>293.69</v>
      </c>
      <c r="I13" s="21">
        <f>405.93+379.74</f>
        <v>785.67000000000007</v>
      </c>
      <c r="J13" s="21">
        <f>+K13+I13</f>
        <v>4502.7299999999996</v>
      </c>
      <c r="K13" s="21">
        <f>1927.73+1789.33</f>
        <v>3717.06</v>
      </c>
    </row>
    <row r="14" spans="1:13" x14ac:dyDescent="0.25">
      <c r="B14" s="12" t="s">
        <v>86</v>
      </c>
      <c r="I14" s="21">
        <v>798.76</v>
      </c>
      <c r="J14" s="21">
        <f>+K14+I14</f>
        <v>4515.83</v>
      </c>
      <c r="K14" s="21">
        <v>3717.07</v>
      </c>
    </row>
    <row r="15" spans="1:13" x14ac:dyDescent="0.25">
      <c r="I15" s="22">
        <f>SUM(I13:I14)</f>
        <v>1584.43</v>
      </c>
      <c r="J15" s="22">
        <f>SUM(J13:J14)</f>
        <v>9018.56</v>
      </c>
      <c r="K15" s="22">
        <f>SUM(K13:K14)</f>
        <v>7434.13</v>
      </c>
    </row>
    <row r="17" spans="1:15" ht="30" x14ac:dyDescent="0.25">
      <c r="B17" s="26" t="s">
        <v>101</v>
      </c>
      <c r="C17" s="23"/>
      <c r="I17" s="24">
        <f>+I7+I11+I15</f>
        <v>4753.29</v>
      </c>
      <c r="J17" s="24">
        <f t="shared" ref="J17:K17" si="0">+J7+J11+J15</f>
        <v>23512.57</v>
      </c>
      <c r="K17" s="24">
        <f>+K7+K11+K15</f>
        <v>18759.28</v>
      </c>
    </row>
    <row r="21" spans="1:15" x14ac:dyDescent="0.25">
      <c r="A21" s="27" t="s">
        <v>40</v>
      </c>
      <c r="B21" s="14" t="s">
        <v>87</v>
      </c>
      <c r="C21" s="14" t="s">
        <v>51</v>
      </c>
      <c r="D21" s="14" t="s">
        <v>52</v>
      </c>
      <c r="E21" s="14" t="s">
        <v>53</v>
      </c>
      <c r="F21" s="14" t="s">
        <v>54</v>
      </c>
      <c r="G21" s="14" t="s">
        <v>55</v>
      </c>
      <c r="H21" s="14" t="s">
        <v>56</v>
      </c>
      <c r="I21" s="14" t="s">
        <v>83</v>
      </c>
      <c r="J21" s="14" t="s">
        <v>84</v>
      </c>
      <c r="K21" s="14" t="s">
        <v>85</v>
      </c>
    </row>
    <row r="22" spans="1:15" x14ac:dyDescent="0.25">
      <c r="B22" s="13"/>
      <c r="C22" s="15"/>
      <c r="D22" s="15"/>
      <c r="E22" s="15"/>
      <c r="F22" s="15"/>
      <c r="G22" s="15"/>
      <c r="H22" s="15"/>
    </row>
    <row r="23" spans="1:15" x14ac:dyDescent="0.25">
      <c r="A23" s="27">
        <v>2025</v>
      </c>
      <c r="B23" s="12" t="s">
        <v>102</v>
      </c>
      <c r="C23" s="15">
        <v>84947203638</v>
      </c>
      <c r="D23" s="15" t="s">
        <v>59</v>
      </c>
      <c r="E23" s="15" t="s">
        <v>60</v>
      </c>
      <c r="F23" s="15" t="s">
        <v>61</v>
      </c>
      <c r="G23" s="15" t="s">
        <v>62</v>
      </c>
      <c r="H23" s="15">
        <v>293.69</v>
      </c>
      <c r="I23" s="21">
        <v>895.75</v>
      </c>
      <c r="J23" s="21">
        <f>+K23+I23</f>
        <v>5066.38</v>
      </c>
      <c r="K23" s="21">
        <f>2162.08+2008.55</f>
        <v>4170.63</v>
      </c>
    </row>
    <row r="24" spans="1:15" x14ac:dyDescent="0.25">
      <c r="B24" s="12" t="s">
        <v>103</v>
      </c>
      <c r="C24" s="15"/>
      <c r="D24" s="15"/>
      <c r="E24" s="15"/>
      <c r="F24" s="15"/>
      <c r="G24" s="15"/>
      <c r="H24" s="15"/>
      <c r="I24" s="21">
        <v>910.44</v>
      </c>
      <c r="J24" s="21">
        <f>+K24+I24</f>
        <v>5081.0400000000009</v>
      </c>
      <c r="K24" s="21">
        <v>4170.6000000000004</v>
      </c>
    </row>
    <row r="25" spans="1:15" x14ac:dyDescent="0.25">
      <c r="B25" s="12"/>
      <c r="C25" s="15"/>
      <c r="D25" s="15"/>
      <c r="E25" s="15"/>
      <c r="F25" s="15"/>
      <c r="G25" s="15"/>
      <c r="H25" s="15"/>
      <c r="I25" s="22">
        <f>SUM(I23:I24)</f>
        <v>1806.19</v>
      </c>
      <c r="J25" s="22">
        <f>SUM(J23:J24)</f>
        <v>10147.420000000002</v>
      </c>
      <c r="K25" s="22">
        <f>SUM(K23:K24)</f>
        <v>8341.23</v>
      </c>
    </row>
    <row r="26" spans="1:15" x14ac:dyDescent="0.25">
      <c r="B26" s="12"/>
      <c r="C26" s="15"/>
      <c r="D26" s="15"/>
      <c r="E26" s="15"/>
      <c r="F26" s="15"/>
      <c r="G26" s="15"/>
      <c r="H26" s="15"/>
      <c r="I26" s="21"/>
      <c r="J26" s="21"/>
      <c r="K26" s="21"/>
      <c r="M26" s="32"/>
    </row>
    <row r="27" spans="1:15" x14ac:dyDescent="0.25">
      <c r="B27" s="12" t="s">
        <v>102</v>
      </c>
      <c r="C27" s="15">
        <v>84897224865</v>
      </c>
      <c r="D27" s="15" t="s">
        <v>66</v>
      </c>
      <c r="E27" s="15" t="s">
        <v>67</v>
      </c>
      <c r="F27" s="15" t="s">
        <v>68</v>
      </c>
      <c r="G27" s="15" t="s">
        <v>69</v>
      </c>
      <c r="H27" s="15">
        <v>293.69</v>
      </c>
      <c r="I27" s="21">
        <v>895.75</v>
      </c>
      <c r="J27" s="21">
        <f>+K27+I27</f>
        <v>2387.71</v>
      </c>
      <c r="K27" s="21">
        <f>778.1+713.86</f>
        <v>1491.96</v>
      </c>
    </row>
    <row r="28" spans="1:15" x14ac:dyDescent="0.25">
      <c r="B28" s="12" t="s">
        <v>103</v>
      </c>
      <c r="C28" s="15"/>
      <c r="D28" s="15"/>
      <c r="E28" s="15"/>
      <c r="F28" s="15"/>
      <c r="G28" s="15"/>
      <c r="H28" s="15"/>
      <c r="I28" s="21">
        <v>910.44</v>
      </c>
      <c r="J28" s="21">
        <f>+K28+I28</f>
        <v>2402.4</v>
      </c>
      <c r="K28" s="21">
        <v>1491.96</v>
      </c>
    </row>
    <row r="29" spans="1:15" x14ac:dyDescent="0.25">
      <c r="B29" s="12"/>
      <c r="C29" s="15"/>
      <c r="D29" s="15"/>
      <c r="E29" s="15"/>
      <c r="F29" s="15"/>
      <c r="G29" s="15"/>
      <c r="H29" s="15"/>
      <c r="I29" s="22">
        <f>SUM(I27:I28)</f>
        <v>1806.19</v>
      </c>
      <c r="J29" s="22">
        <f>SUM(J27:J28)</f>
        <v>4790.1100000000006</v>
      </c>
      <c r="K29" s="22">
        <f>SUM(K27:K28)</f>
        <v>2983.92</v>
      </c>
      <c r="O29" t="s">
        <v>107</v>
      </c>
    </row>
    <row r="30" spans="1:15" x14ac:dyDescent="0.25">
      <c r="B30" s="12"/>
      <c r="C30" s="15"/>
      <c r="D30" s="15"/>
      <c r="E30" s="15"/>
      <c r="F30" s="15"/>
      <c r="G30" s="15"/>
      <c r="H30" s="15"/>
      <c r="I30" s="21"/>
      <c r="J30" s="21"/>
      <c r="K30" s="21"/>
    </row>
    <row r="31" spans="1:15" x14ac:dyDescent="0.25">
      <c r="B31" s="12" t="s">
        <v>102</v>
      </c>
      <c r="C31" s="15">
        <v>11018330230</v>
      </c>
      <c r="D31" s="15" t="s">
        <v>76</v>
      </c>
      <c r="E31" s="15" t="s">
        <v>77</v>
      </c>
      <c r="F31" s="15" t="s">
        <v>78</v>
      </c>
      <c r="G31" s="15" t="s">
        <v>79</v>
      </c>
      <c r="H31" s="15">
        <v>293.69</v>
      </c>
      <c r="I31" s="21">
        <v>895.75</v>
      </c>
      <c r="J31" s="21">
        <f>+K31+I31</f>
        <v>4612.8099999999995</v>
      </c>
      <c r="K31" s="21">
        <f>1927.73+1789.33</f>
        <v>3717.06</v>
      </c>
    </row>
    <row r="32" spans="1:15" x14ac:dyDescent="0.25">
      <c r="B32" s="12" t="s">
        <v>103</v>
      </c>
      <c r="I32" s="21">
        <v>910.44</v>
      </c>
      <c r="J32" s="21">
        <f>+K32+I32</f>
        <v>4627.51</v>
      </c>
      <c r="K32" s="21">
        <v>3717.07</v>
      </c>
    </row>
    <row r="33" spans="1:14" x14ac:dyDescent="0.25">
      <c r="I33" s="22">
        <f>SUM(I31:I32)</f>
        <v>1806.19</v>
      </c>
      <c r="J33" s="22">
        <f>SUM(J31:J32)</f>
        <v>9240.32</v>
      </c>
      <c r="K33" s="22">
        <f>SUM(K31:K32)</f>
        <v>7434.13</v>
      </c>
    </row>
    <row r="35" spans="1:14" ht="30" x14ac:dyDescent="0.25">
      <c r="B35" s="26" t="s">
        <v>104</v>
      </c>
      <c r="C35" s="23"/>
      <c r="I35" s="24">
        <f>+I25+I29+I33</f>
        <v>5418.57</v>
      </c>
      <c r="J35" s="24">
        <f t="shared" ref="J35:K35" si="1">+J25+J29+J33</f>
        <v>24177.850000000002</v>
      </c>
      <c r="K35" s="24">
        <f t="shared" si="1"/>
        <v>18759.28</v>
      </c>
    </row>
    <row r="38" spans="1:14" x14ac:dyDescent="0.25">
      <c r="A38" s="27" t="s">
        <v>40</v>
      </c>
      <c r="B38" s="14" t="s">
        <v>87</v>
      </c>
      <c r="C38" s="14" t="s">
        <v>51</v>
      </c>
      <c r="D38" s="14" t="s">
        <v>52</v>
      </c>
      <c r="E38" s="14" t="s">
        <v>53</v>
      </c>
      <c r="F38" s="14" t="s">
        <v>54</v>
      </c>
      <c r="G38" s="14" t="s">
        <v>55</v>
      </c>
      <c r="H38" s="14" t="s">
        <v>56</v>
      </c>
      <c r="I38" s="14" t="s">
        <v>83</v>
      </c>
      <c r="J38" s="14" t="s">
        <v>84</v>
      </c>
      <c r="K38" s="14" t="s">
        <v>85</v>
      </c>
    </row>
    <row r="39" spans="1:14" x14ac:dyDescent="0.25">
      <c r="B39" s="13"/>
      <c r="C39" s="15"/>
      <c r="D39" s="15"/>
      <c r="E39" s="15"/>
      <c r="F39" s="15"/>
      <c r="G39" s="15"/>
      <c r="H39" s="15"/>
    </row>
    <row r="40" spans="1:14" x14ac:dyDescent="0.25">
      <c r="A40" s="27">
        <v>2025</v>
      </c>
      <c r="B40" s="12" t="s">
        <v>88</v>
      </c>
      <c r="C40" s="15">
        <v>84947203638</v>
      </c>
      <c r="D40" s="15" t="s">
        <v>59</v>
      </c>
      <c r="E40" s="15" t="s">
        <v>60</v>
      </c>
      <c r="F40" s="15" t="s">
        <v>61</v>
      </c>
      <c r="G40" s="15" t="s">
        <v>62</v>
      </c>
      <c r="H40" s="15">
        <v>293.69</v>
      </c>
      <c r="I40" s="21">
        <v>895.75</v>
      </c>
      <c r="J40" s="34">
        <f>+K40+I40</f>
        <v>5066.38</v>
      </c>
      <c r="K40" s="34">
        <f>2162.08+2008.55</f>
        <v>4170.63</v>
      </c>
    </row>
    <row r="41" spans="1:14" x14ac:dyDescent="0.25">
      <c r="B41" s="12" t="s">
        <v>89</v>
      </c>
      <c r="C41" s="15"/>
      <c r="D41" s="15"/>
      <c r="E41" s="15"/>
      <c r="F41" s="15"/>
      <c r="G41" s="15"/>
      <c r="H41" s="15"/>
      <c r="I41" s="21">
        <v>896.94</v>
      </c>
      <c r="J41" s="34">
        <f>+K41+I41</f>
        <v>896.94</v>
      </c>
      <c r="K41" s="34">
        <v>0</v>
      </c>
      <c r="N41" s="32"/>
    </row>
    <row r="42" spans="1:14" x14ac:dyDescent="0.25">
      <c r="B42" s="12"/>
      <c r="C42" s="15"/>
      <c r="D42" s="15"/>
      <c r="E42" s="15"/>
      <c r="F42" s="15"/>
      <c r="G42" s="15"/>
      <c r="H42" s="15"/>
      <c r="I42" s="22">
        <f>SUM(I40:I41)</f>
        <v>1792.69</v>
      </c>
      <c r="J42" s="22">
        <f>SUM(J40:J41)</f>
        <v>5963.32</v>
      </c>
      <c r="K42" s="22">
        <f>SUM(K40:K41)</f>
        <v>4170.63</v>
      </c>
    </row>
    <row r="43" spans="1:14" x14ac:dyDescent="0.25">
      <c r="B43" s="12"/>
      <c r="C43" s="15"/>
      <c r="D43" s="15"/>
      <c r="E43" s="15"/>
      <c r="F43" s="15"/>
      <c r="G43" s="15"/>
      <c r="H43" s="15"/>
      <c r="I43" s="21"/>
      <c r="J43" s="21"/>
      <c r="K43" s="21"/>
    </row>
    <row r="44" spans="1:14" x14ac:dyDescent="0.25">
      <c r="B44" s="12" t="s">
        <v>88</v>
      </c>
      <c r="C44" s="15">
        <v>84897224865</v>
      </c>
      <c r="D44" s="15" t="s">
        <v>66</v>
      </c>
      <c r="E44" s="15" t="s">
        <v>67</v>
      </c>
      <c r="F44" s="15" t="s">
        <v>68</v>
      </c>
      <c r="G44" s="15" t="s">
        <v>69</v>
      </c>
      <c r="H44" s="15">
        <v>293.69</v>
      </c>
      <c r="I44" s="21">
        <v>895.75</v>
      </c>
      <c r="J44" s="34">
        <f>+K44+I44</f>
        <v>2387.71</v>
      </c>
      <c r="K44" s="34">
        <f>778.1+713.86</f>
        <v>1491.96</v>
      </c>
    </row>
    <row r="45" spans="1:14" x14ac:dyDescent="0.25">
      <c r="B45" s="12" t="s">
        <v>89</v>
      </c>
      <c r="C45" s="15"/>
      <c r="D45" s="15"/>
      <c r="E45" s="15"/>
      <c r="F45" s="15"/>
      <c r="G45" s="15"/>
      <c r="H45" s="15"/>
      <c r="I45" s="21">
        <v>896.94</v>
      </c>
      <c r="J45" s="34">
        <f>+K45+I45</f>
        <v>896.94</v>
      </c>
      <c r="K45" s="34">
        <v>0</v>
      </c>
    </row>
    <row r="46" spans="1:14" x14ac:dyDescent="0.25">
      <c r="B46" s="12"/>
      <c r="C46" s="15"/>
      <c r="D46" s="15"/>
      <c r="E46" s="15"/>
      <c r="F46" s="15"/>
      <c r="G46" s="15"/>
      <c r="H46" s="15"/>
      <c r="I46" s="22">
        <f>SUM(I44:I45)</f>
        <v>1792.69</v>
      </c>
      <c r="J46" s="22">
        <f>SUM(J44:J45)</f>
        <v>3284.65</v>
      </c>
      <c r="K46" s="22">
        <f>SUM(K44:K45)</f>
        <v>1491.96</v>
      </c>
    </row>
    <row r="47" spans="1:14" x14ac:dyDescent="0.25">
      <c r="B47" s="12"/>
      <c r="C47" s="15"/>
      <c r="D47" s="15"/>
      <c r="E47" s="15"/>
      <c r="F47" s="15"/>
      <c r="G47" s="15"/>
      <c r="H47" s="15"/>
      <c r="I47" s="21"/>
      <c r="J47" s="21"/>
      <c r="K47" s="21"/>
    </row>
    <row r="48" spans="1:14" x14ac:dyDescent="0.25">
      <c r="B48" s="12" t="s">
        <v>88</v>
      </c>
      <c r="C48" s="15">
        <v>11018330230</v>
      </c>
      <c r="D48" s="15" t="s">
        <v>76</v>
      </c>
      <c r="E48" s="15" t="s">
        <v>77</v>
      </c>
      <c r="F48" s="15" t="s">
        <v>78</v>
      </c>
      <c r="G48" s="15" t="s">
        <v>79</v>
      </c>
      <c r="H48" s="15">
        <v>293.69</v>
      </c>
      <c r="I48" s="21">
        <v>895.75</v>
      </c>
      <c r="J48" s="33">
        <f>+K48+I48</f>
        <v>3888.03</v>
      </c>
      <c r="K48" s="33">
        <v>2992.28</v>
      </c>
    </row>
    <row r="49" spans="2:11" x14ac:dyDescent="0.25">
      <c r="B49" s="12" t="s">
        <v>89</v>
      </c>
      <c r="I49" s="21">
        <v>896.36</v>
      </c>
      <c r="J49" s="34">
        <f>+K49+I49</f>
        <v>4613.43</v>
      </c>
      <c r="K49" s="34">
        <v>3717.07</v>
      </c>
    </row>
    <row r="50" spans="2:11" x14ac:dyDescent="0.25">
      <c r="I50" s="22">
        <f>SUM(I48:I49)</f>
        <v>1792.1100000000001</v>
      </c>
      <c r="J50" s="22">
        <f>SUM(J48:J49)</f>
        <v>8501.4600000000009</v>
      </c>
      <c r="K50" s="22">
        <f>SUM(K48:K49)</f>
        <v>6709.35</v>
      </c>
    </row>
    <row r="52" spans="2:11" ht="30" x14ac:dyDescent="0.25">
      <c r="B52" s="26" t="s">
        <v>93</v>
      </c>
      <c r="C52" s="23"/>
      <c r="I52" s="35">
        <f>+I42+I46+I50</f>
        <v>5377.49</v>
      </c>
      <c r="J52" s="35">
        <f t="shared" ref="J52:K52" si="2">+J42+J46+J50</f>
        <v>17749.43</v>
      </c>
      <c r="K52" s="35">
        <f t="shared" si="2"/>
        <v>12371.94</v>
      </c>
    </row>
    <row r="53" spans="2:11" x14ac:dyDescent="0.25">
      <c r="B53" s="12"/>
      <c r="C53" s="15"/>
      <c r="D53" s="15"/>
      <c r="E53" s="15"/>
      <c r="F53" s="15"/>
      <c r="G53" s="15"/>
      <c r="H53" s="15"/>
      <c r="I53" s="21"/>
      <c r="J53" s="21"/>
      <c r="K53" s="21"/>
    </row>
    <row r="54" spans="2:11" x14ac:dyDescent="0.25">
      <c r="B54" s="12"/>
      <c r="I54" s="21"/>
      <c r="J54" s="21"/>
      <c r="K54" s="21"/>
    </row>
    <row r="55" spans="2:11" x14ac:dyDescent="0.25">
      <c r="I55" s="22"/>
      <c r="J55" s="22"/>
      <c r="K55" s="22"/>
    </row>
    <row r="57" spans="2:11" x14ac:dyDescent="0.25">
      <c r="B57" s="26"/>
      <c r="C57" s="23"/>
      <c r="I57" s="24"/>
      <c r="J57" s="24"/>
      <c r="K57" s="2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SERVICIOS</vt:lpstr>
      <vt:lpstr>INFORMACION</vt:lpstr>
      <vt:lpstr>INFORMACION CUOTAS INFONAVIT 21</vt:lpstr>
      <vt:lpstr>INFORMACION CUOTAS INFONAVIT 22</vt:lpstr>
      <vt:lpstr>INFORMACION CUOTAS INFONAVIT 23</vt:lpstr>
      <vt:lpstr>INFORMACIÒN CUOTAS INFONAVIT 24</vt:lpstr>
      <vt:lpstr>INFORMACION CUOTAS INFONAVIT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contador5</cp:lastModifiedBy>
  <cp:lastPrinted>2023-06-30T16:19:13Z</cp:lastPrinted>
  <dcterms:created xsi:type="dcterms:W3CDTF">2023-06-29T20:43:44Z</dcterms:created>
  <dcterms:modified xsi:type="dcterms:W3CDTF">2026-01-20T01:59:52Z</dcterms:modified>
</cp:coreProperties>
</file>